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ummary" sheetId="2" state="visible" r:id="rId4"/>
    <sheet name="Tenants" sheetId="3" state="visible" r:id="rId5"/>
    <sheet name="App &amp; Config" sheetId="4" state="visible" r:id="rId6"/>
    <sheet name="Checklist" sheetId="5" state="visible" r:id="rId7"/>
    <sheet name="Users" sheetId="6" state="visible" r:id="rId8"/>
    <sheet name="Batches" sheetId="7" state="visible" r:id="rId9"/>
    <sheet name="Issues" sheetId="8" state="visible" r:id="rId10"/>
  </sheets>
  <definedNames>
    <definedName function="false" hidden="true" localSheetId="4" name="_xlnm._FilterDatabase" vbProcedure="false">Checklist!$A$3:$F$53</definedName>
    <definedName function="false" hidden="true" localSheetId="5" name="_xlnm._FilterDatabase" vbProcedure="false">Users!$A$4:$AB$204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<sst xmlns="http://schemas.openxmlformats.org/spreadsheetml/2006/main" count="332" uniqueCount="251">
  <si>
    <t xml:space="preserve">Microsoft 365 Cross-Tenant Mailbox Migration Tracker</t>
  </si>
  <si>
    <t xml:space="preserve">Companion to the README runbook. Official reference: https://learn.microsoft.com/en-us/microsoft-365/migration/cross-tenant-mailbox-migration</t>
  </si>
  <si>
    <t xml:space="preserve">How to use</t>
  </si>
  <si>
    <t xml:space="preserve">Work through the sheets in order. Record each value as you complete the matching runbook step.</t>
  </si>
  <si>
    <t xml:space="preserve">Yellow cells</t>
  </si>
  <si>
    <t xml:space="preserve">Cells you fill in.</t>
  </si>
  <si>
    <t xml:space="preserve">Grey cells</t>
  </si>
  <si>
    <t xml:space="preserve">Formulas. Do not overwrite.</t>
  </si>
  <si>
    <t xml:space="preserve">Blue cells</t>
  </si>
  <si>
    <t xml:space="preserve">Example row or example value showing the expected format. Replace or delete it.</t>
  </si>
  <si>
    <t xml:space="preserve">Never record secrets</t>
  </si>
  <si>
    <t xml:space="preserve">Do not enter the client secret value, passwords or tokens anywhere in this file. Record only the expiry date and the name of the vault or store that holds the secret.</t>
  </si>
  <si>
    <t xml:space="preserve">Sheet</t>
  </si>
  <si>
    <t xml:space="preserve">Purpose</t>
  </si>
  <si>
    <t xml:space="preserve">Summary</t>
  </si>
  <si>
    <t xml:space="preserve">Live totals and progress (formulas).</t>
  </si>
  <si>
    <t xml:space="preserve">Tenants</t>
  </si>
  <si>
    <t xml:space="preserve">Source and target tenant details (Runbook Step 1).</t>
  </si>
  <si>
    <t xml:space="preserve">App &amp; Config</t>
  </si>
  <si>
    <t xml:space="preserve">Migration app, endpoint, organisation relationships, scope group (Steps 3 and 4). Builds the consent URL.</t>
  </si>
  <si>
    <t xml:space="preserve">Checklist</t>
  </si>
  <si>
    <t xml:space="preserve">Every runbook step with status, owner, date and notes.</t>
  </si>
  <si>
    <t xml:space="preserve">Users</t>
  </si>
  <si>
    <t xml:space="preserve">One row per mailbox: source values, target MailUser values, automatic GUID checks, move and validation status (Steps 5 to 10).</t>
  </si>
  <si>
    <t xml:space="preserve">Batches</t>
  </si>
  <si>
    <t xml:space="preserve">Pilot and production batches (Steps 7 to 9).</t>
  </si>
  <si>
    <t xml:space="preserve">Issues</t>
  </si>
  <si>
    <t xml:space="preserve">Problems, causes and fixes (Troubleshooting, Step 11).</t>
  </si>
  <si>
    <t xml:space="preserve">Summary (all values are formulas)</t>
  </si>
  <si>
    <t xml:space="preserve">Measure</t>
  </si>
  <si>
    <t xml:space="preserve">Value</t>
  </si>
  <si>
    <t xml:space="preserve">Mailboxes recorded</t>
  </si>
  <si>
    <t xml:space="preserve">Mailboxes on hold (blocked)</t>
  </si>
  <si>
    <t xml:space="preserve">ExchangeGuid mismatches</t>
  </si>
  <si>
    <t xml:space="preserve">ArchiveGuid mismatches</t>
  </si>
  <si>
    <t xml:space="preserve">Ready to migrate</t>
  </si>
  <si>
    <t xml:space="preserve">Not ready</t>
  </si>
  <si>
    <t xml:space="preserve">Moves completed</t>
  </si>
  <si>
    <t xml:space="preserve">Moves failed</t>
  </si>
  <si>
    <t xml:space="preserve">Moves completed (%)</t>
  </si>
  <si>
    <t xml:space="preserve">Batches recorded</t>
  </si>
  <si>
    <t xml:space="preserve">Checklist items done</t>
  </si>
  <si>
    <t xml:space="preserve">Checklist items blocked</t>
  </si>
  <si>
    <t xml:space="preserve">Checklist progress (excluding N/A)</t>
  </si>
  <si>
    <t xml:space="preserve">Open issues</t>
  </si>
  <si>
    <t xml:space="preserve">Client secret expiry date</t>
  </si>
  <si>
    <t xml:space="preserve">Note: the example rows on Users, Batches and Issues are counted until you overwrite them.</t>
  </si>
  <si>
    <t xml:space="preserve">Tenant details (Runbook Step 1)</t>
  </si>
  <si>
    <t xml:space="preserve">Item</t>
  </si>
  <si>
    <t xml:space="preserve">Source tenant</t>
  </si>
  <si>
    <t xml:space="preserve">Target tenant</t>
  </si>
  <si>
    <t xml:space="preserve">Example (format only)</t>
  </si>
  <si>
    <t xml:space="preserve">Organisation name</t>
  </si>
  <si>
    <t xml:space="preserve">Contoso Ltd</t>
  </si>
  <si>
    <t xml:space="preserve">Tenant ID (GUID)</t>
  </si>
  <si>
    <t xml:space="preserve">11111111-2222-3333-4444-555555555555</t>
  </si>
  <si>
    <t xml:space="preserve">Initial domain (onmicrosoft.com)</t>
  </si>
  <si>
    <t xml:space="preserve">contoso.onmicrosoft.com</t>
  </si>
  <si>
    <t xml:space="preserve">Custom domain(s) in use</t>
  </si>
  <si>
    <t xml:space="preserve">contoso.com</t>
  </si>
  <si>
    <t xml:space="preserve">Tenant admin contact</t>
  </si>
  <si>
    <t xml:space="preserve">A. Admin, admin@contoso.com</t>
  </si>
  <si>
    <t xml:space="preserve">Admin account used for PowerShell</t>
  </si>
  <si>
    <t xml:space="preserve">migadmin@contoso.onmicrosoft.com</t>
  </si>
  <si>
    <t xml:space="preserve">Cloud environment</t>
  </si>
  <si>
    <t xml:space="preserve">Microsoft 365 commercial</t>
  </si>
  <si>
    <t xml:space="preserve">Exchange Online provisioned (Yes/No)</t>
  </si>
  <si>
    <t xml:space="preserve">Yes</t>
  </si>
  <si>
    <t xml:space="preserve">Directory type (Cloud-only / Hybrid-synchronised)</t>
  </si>
  <si>
    <t xml:space="preserve">Cloud-only</t>
  </si>
  <si>
    <t xml:space="preserve">Cross Tenant User Data Migration licences purchased</t>
  </si>
  <si>
    <t xml:space="preserve">50</t>
  </si>
  <si>
    <t xml:space="preserve">Domain move planned? (Yes/No) and date</t>
  </si>
  <si>
    <t xml:space="preserve">Yes, 2026-11-20</t>
  </si>
  <si>
    <t xml:space="preserve">Migration window</t>
  </si>
  <si>
    <t xml:space="preserve">2026-11-14 18:00 to 2026-11-15 06:00</t>
  </si>
  <si>
    <t xml:space="preserve">Pilot group</t>
  </si>
  <si>
    <t xml:space="preserve">5 IT staff</t>
  </si>
  <si>
    <t xml:space="preserve">Rollback decision recorded (Yes/No) and where</t>
  </si>
  <si>
    <t xml:space="preserve">Yes, change ticket CHG-1042</t>
  </si>
  <si>
    <t xml:space="preserve">Migration app, endpoint and organisation relationships (Runbook Steps 3 and 4)</t>
  </si>
  <si>
    <t xml:space="preserve">Date done</t>
  </si>
  <si>
    <t xml:space="preserve">Done by</t>
  </si>
  <si>
    <t xml:space="preserve">TARGET: App registration name</t>
  </si>
  <si>
    <t xml:space="preserve">CrossTenantMailboxMigration</t>
  </si>
  <si>
    <t xml:space="preserve">TARGET: Application (client) ID</t>
  </si>
  <si>
    <t xml:space="preserve">aaaaaaaa-bbbb-cccc-dddd-eeeeeeeeeeee</t>
  </si>
  <si>
    <t xml:space="preserve">TARGET: Redirect URI</t>
  </si>
  <si>
    <t xml:space="preserve">https://office.com</t>
  </si>
  <si>
    <t xml:space="preserve">TARGET: Permission added (Mailbox.Migration)</t>
  </si>
  <si>
    <t xml:space="preserve">TARGET: Client secret expiry date</t>
  </si>
  <si>
    <t xml:space="preserve">2026-12-31</t>
  </si>
  <si>
    <t xml:space="preserve">TARGET: Where the secret is stored (name only, never the value)</t>
  </si>
  <si>
    <t xml:space="preserve">Company password vault, item 'XT-Migration'</t>
  </si>
  <si>
    <t xml:space="preserve">TARGET: Admin consent granted in target</t>
  </si>
  <si>
    <t xml:space="preserve">SOURCE: Admin consent accepted (consent URL below)</t>
  </si>
  <si>
    <t xml:space="preserve">CONSENT URL (generated, send to source admin)</t>
  </si>
  <si>
    <t xml:space="preserve">https://login.microsoftonline.com/contoso.onmicrosoft.com/adminconsent?client_id=...&amp;redirect_uri=https://office.com</t>
  </si>
  <si>
    <t xml:space="preserve">TARGET: Migration endpoint name</t>
  </si>
  <si>
    <t xml:space="preserve">CrossTenant-Source</t>
  </si>
  <si>
    <t xml:space="preserve">TARGET: Endpoint remote server</t>
  </si>
  <si>
    <t xml:space="preserve">outlook.office.com</t>
  </si>
  <si>
    <t xml:space="preserve">TARGET: Endpoint created successfully</t>
  </si>
  <si>
    <t xml:space="preserve">TARGET: Organisation relationship name</t>
  </si>
  <si>
    <t xml:space="preserve">TARGET: Organisation relationship (Inbound) verified</t>
  </si>
  <si>
    <t xml:space="preserve">SOURCE: Scope group name</t>
  </si>
  <si>
    <t xml:space="preserve">CrossTenant-Migration-Scope</t>
  </si>
  <si>
    <t xml:space="preserve">SOURCE: Organisation relationship name</t>
  </si>
  <si>
    <t xml:space="preserve">CrossTenant-Target</t>
  </si>
  <si>
    <t xml:space="preserve">SOURCE: Organisation relationship (RemoteOutbound) verified</t>
  </si>
  <si>
    <t xml:space="preserve">SOURCE: Group membership checked against Users sheet</t>
  </si>
  <si>
    <t xml:space="preserve">TARGET: Target delivery domain</t>
  </si>
  <si>
    <t xml:space="preserve">fabrikam.onmicrosoft.com</t>
  </si>
  <si>
    <t xml:space="preserve">Microsoft validation script run (date and result)</t>
  </si>
  <si>
    <t xml:space="preserve">2026-11-10, no issues</t>
  </si>
  <si>
    <t xml:space="preserve">Test-MigrationServerAvailability result</t>
  </si>
  <si>
    <t xml:space="preserve">Success</t>
  </si>
  <si>
    <t xml:space="preserve">Runbook checklist</t>
  </si>
  <si>
    <t xml:space="preserve">Step</t>
  </si>
  <si>
    <t xml:space="preserve">Task</t>
  </si>
  <si>
    <t xml:space="preserve">Status</t>
  </si>
  <si>
    <t xml:space="preserve">Owner</t>
  </si>
  <si>
    <t xml:space="preserve">Date</t>
  </si>
  <si>
    <t xml:space="preserve">Notes / evidence</t>
  </si>
  <si>
    <t xml:space="preserve">Dates: enter as yyyy-mm-dd</t>
  </si>
  <si>
    <t xml:space="preserve">Record tenant IDs, domains, admin contacts</t>
  </si>
  <si>
    <t xml:space="preserve">Not started</t>
  </si>
  <si>
    <t xml:space="preserve">Confirm supported cloud environments and Exchange Online provisioned</t>
  </si>
  <si>
    <t xml:space="preserve">Cross Tenant User Data Migration licences assigned to each migrating user</t>
  </si>
  <si>
    <t xml:space="preserve">Target users have an appropriate Exchange Online licence plan</t>
  </si>
  <si>
    <t xml:space="preserve">Mailbox inventory completed (Users sheet)</t>
  </si>
  <si>
    <t xml:space="preserve">Holds checked; any holds resolved with legal/compliance approval</t>
  </si>
  <si>
    <t xml:space="preserve">Target UPN and SMTP domain decided; domain move planned</t>
  </si>
  <si>
    <t xml:space="preserve">Pilot group and migration window agreed; users notified</t>
  </si>
  <si>
    <t xml:space="preserve">Rollback decision recorded</t>
  </si>
  <si>
    <t xml:space="preserve">ExchangeOnlineManagement module installed/updated</t>
  </si>
  <si>
    <t xml:space="preserve">Execution policy checked</t>
  </si>
  <si>
    <t xml:space="preserve">Connected to correct tenant (verified with Get-OrganizationConfig)</t>
  </si>
  <si>
    <t xml:space="preserve">App registered in target Entra (multitenant, redirect https://office.com)</t>
  </si>
  <si>
    <t xml:space="preserve">Mailbox.Migration application permission added</t>
  </si>
  <si>
    <t xml:space="preserve">Client secret created and stored securely; expiry recorded</t>
  </si>
  <si>
    <t xml:space="preserve">Admin consent granted in target</t>
  </si>
  <si>
    <t xml:space="preserve">Consent URL sent to source admin and accepted</t>
  </si>
  <si>
    <t xml:space="preserve">Migration endpoint created in target</t>
  </si>
  <si>
    <t xml:space="preserve">Organisation relationship created in target (Inbound)</t>
  </si>
  <si>
    <t xml:space="preserve">Source consent verified in Enterprise applications</t>
  </si>
  <si>
    <t xml:space="preserve">Mail-enabled security scope group created in source</t>
  </si>
  <si>
    <t xml:space="preserve">Scope group membership matches approved users</t>
  </si>
  <si>
    <t xml:space="preserve">Source organisation relationship created (RemoteOutbound, app ID, scope)</t>
  </si>
  <si>
    <t xml:space="preserve">Source mailbox details exported (GUIDs, LegacyExchangeDN, X500)</t>
  </si>
  <si>
    <t xml:space="preserve">Target MailUsers created</t>
  </si>
  <si>
    <t xml:space="preserve">ExchangeGUID, ArchiveGUID and X500 addresses stamped</t>
  </si>
  <si>
    <t xml:space="preserve">Primary SMTP and ExternalEmailAddress set</t>
  </si>
  <si>
    <t xml:space="preserve">MailUser values verified before licensing (Users sheet checks show OK)</t>
  </si>
  <si>
    <t xml:space="preserve">Exchange and Cross Tenant licences assigned after verification</t>
  </si>
  <si>
    <t xml:space="preserve">Get-MigrationEndpoint and Test-MigrationServerAvailability succeed</t>
  </si>
  <si>
    <t xml:space="preserve">Microsoft validation script run; all issues fixed</t>
  </si>
  <si>
    <t xml:space="preserve">users.csv created with target addresses; copy kept</t>
  </si>
  <si>
    <t xml:space="preserve">Pilot batch created (not started) and inspected</t>
  </si>
  <si>
    <t xml:space="preserve">Pilot batch started and completed</t>
  </si>
  <si>
    <t xml:space="preserve">Pilot validated and signed off</t>
  </si>
  <si>
    <t xml:space="preserve">Production batches scheduled; delegates grouped together</t>
  </si>
  <si>
    <t xml:space="preserve">Production batches completed</t>
  </si>
  <si>
    <t xml:space="preserve">Mail content verified (counts, date ranges, archive)</t>
  </si>
  <si>
    <t xml:space="preserve">Inbound and outbound mail tested</t>
  </si>
  <si>
    <t xml:space="preserve">Outlook web, desktop and mobile sign-in tested</t>
  </si>
  <si>
    <t xml:space="preserve">Delegates, shared mailboxes, rules, forwarding and calendar sharing recreated</t>
  </si>
  <si>
    <t xml:space="preserve">Teams meetings recreated where needed</t>
  </si>
  <si>
    <t xml:space="preserve">Hybrid objects and targetAddress updated (if applicable)</t>
  </si>
  <si>
    <t xml:space="preserve">Compliance owner confirmed retention, eDiscovery and audit</t>
  </si>
  <si>
    <t xml:space="preserve">Business owner sign-off obtained</t>
  </si>
  <si>
    <t xml:space="preserve">Reports and change records retained</t>
  </si>
  <si>
    <t xml:space="preserve">Endpoint and organisation relationships removed (only if no further moves)</t>
  </si>
  <si>
    <t xml:space="preserve">App secret rotated/removed; app and consent removed</t>
  </si>
  <si>
    <t xml:space="preserve">Source MailUsers and routing reviewed</t>
  </si>
  <si>
    <t xml:space="preserve">Documentation and support runbooks updated</t>
  </si>
  <si>
    <t xml:space="preserve">Mailbox map (Runbook Steps 5 to 10)</t>
  </si>
  <si>
    <t xml:space="preserve">Row 5 is an example (blue). Overwrite it with your first user. Grey columns are automatic checks.</t>
  </si>
  <si>
    <t xml:space="preserve">#</t>
  </si>
  <si>
    <t xml:space="preserve">Display name</t>
  </si>
  <si>
    <t xml:space="preserve">Source UPN</t>
  </si>
  <si>
    <t xml:space="preserve">Source primary SMTP</t>
  </si>
  <si>
    <t xml:space="preserve">Source routing address (onmicrosoft.com)</t>
  </si>
  <si>
    <t xml:space="preserve">Source ExchangeGuid</t>
  </si>
  <si>
    <t xml:space="preserve">Source ArchiveGuid</t>
  </si>
  <si>
    <t xml:space="preserve">Archive? (Yes/No)</t>
  </si>
  <si>
    <t xml:space="preserve">Source LegacyExchangeDN</t>
  </si>
  <si>
    <t xml:space="preserve">Source X500 addresses (; separated)</t>
  </si>
  <si>
    <t xml:space="preserve">Mailbox size (GB)</t>
  </si>
  <si>
    <t xml:space="preserve">On any hold? (Yes/No)</t>
  </si>
  <si>
    <t xml:space="preserve">Delegates / shared mailbox links</t>
  </si>
  <si>
    <t xml:space="preserve">Target UPN</t>
  </si>
  <si>
    <t xml:space="preserve">Target primary SMTP</t>
  </si>
  <si>
    <t xml:space="preserve">Target MailUser ExchangeGuid</t>
  </si>
  <si>
    <t xml:space="preserve">Target MailUser ArchiveGuid</t>
  </si>
  <si>
    <t xml:space="preserve">Exchange licence assigned (Yes/No)</t>
  </si>
  <si>
    <t xml:space="preserve">Cross Tenant licence assigned (Yes/No)</t>
  </si>
  <si>
    <t xml:space="preserve">ExchangeGuid check</t>
  </si>
  <si>
    <t xml:space="preserve">ArchiveGuid check</t>
  </si>
  <si>
    <t xml:space="preserve">Ready to migrate?</t>
  </si>
  <si>
    <t xml:space="preserve">Batch name</t>
  </si>
  <si>
    <t xml:space="preserve">Move status</t>
  </si>
  <si>
    <t xml:space="preserve">Mail flow tested</t>
  </si>
  <si>
    <t xml:space="preserve">Outlook tested</t>
  </si>
  <si>
    <t xml:space="preserve">Delegates recreated</t>
  </si>
  <si>
    <t xml:space="preserve">Notes</t>
  </si>
  <si>
    <t xml:space="preserve">Alex Example</t>
  </si>
  <si>
    <t xml:space="preserve">alex@contoso.com</t>
  </si>
  <si>
    <t xml:space="preserve">alex@contoso.onmicrosoft.com</t>
  </si>
  <si>
    <t xml:space="preserve">0a1b2c3d-1111-2222-3333-444455556666</t>
  </si>
  <si>
    <t xml:space="preserve">9f8e7d6c-aaaa-bbbb-cccc-ddddeeeeffff</t>
  </si>
  <si>
    <t xml:space="preserve">/o=ExchangeLabs/ou=Exchange Administrative Group (FYDIBOHF23SPDLT)/cn=Recipients/cn=EXAMPLE-alex</t>
  </si>
  <si>
    <t xml:space="preserve">x500:/o=OldOrg/ou=First Administrative Group/cn=Recipients/cn=alex</t>
  </si>
  <si>
    <t xml:space="preserve">No</t>
  </si>
  <si>
    <t xml:space="preserve">None</t>
  </si>
  <si>
    <t xml:space="preserve">alex@fabrikam.com</t>
  </si>
  <si>
    <t xml:space="preserve">CrossTenant-Pilot-2026-11-14</t>
  </si>
  <si>
    <t xml:space="preserve">Migration batches (Runbook Steps 7 to 9)</t>
  </si>
  <si>
    <t xml:space="preserve">Row 4 is an example (blue). Overwrite it with your pilot batch.</t>
  </si>
  <si>
    <t xml:space="preserve">Type</t>
  </si>
  <si>
    <t xml:space="preserve">CSV file name</t>
  </si>
  <si>
    <t xml:space="preserve">Users in batch (auto)</t>
  </si>
  <si>
    <t xml:space="preserve">Created</t>
  </si>
  <si>
    <t xml:space="preserve">Started</t>
  </si>
  <si>
    <t xml:space="preserve">Completed</t>
  </si>
  <si>
    <t xml:space="preserve">Synced</t>
  </si>
  <si>
    <t xml:space="preserve">Failed</t>
  </si>
  <si>
    <t xml:space="preserve">Reports saved? (Yes/No)</t>
  </si>
  <si>
    <t xml:space="preserve">Approved by</t>
  </si>
  <si>
    <t xml:space="preserve">Pilot</t>
  </si>
  <si>
    <t xml:space="preserve">users-pilot.csv</t>
  </si>
  <si>
    <t xml:space="preserve">2026-11-12</t>
  </si>
  <si>
    <t xml:space="preserve">2026-11-14</t>
  </si>
  <si>
    <t xml:space="preserve">J. Manager</t>
  </si>
  <si>
    <t xml:space="preserve">Pilot signed off</t>
  </si>
  <si>
    <t xml:space="preserve">Issues log</t>
  </si>
  <si>
    <t xml:space="preserve">Row 4 is an example (blue). Overwrite it with your first issue.</t>
  </si>
  <si>
    <t xml:space="preserve">ID</t>
  </si>
  <si>
    <t xml:space="preserve">Mailbox / area</t>
  </si>
  <si>
    <t xml:space="preserve">Description</t>
  </si>
  <si>
    <t xml:space="preserve">Error text / cmdlet</t>
  </si>
  <si>
    <t xml:space="preserve">Cause</t>
  </si>
  <si>
    <t xml:space="preserve">Action taken</t>
  </si>
  <si>
    <t xml:space="preserve">Resolved date</t>
  </si>
  <si>
    <t xml:space="preserve">Move failed on pilot mailbox</t>
  </si>
  <si>
    <t xml:space="preserve">ExchangeGuid mismatch in migration report</t>
  </si>
  <si>
    <t xml:space="preserve">Exchange licence assigned before GUID was stamped</t>
  </si>
  <si>
    <t xml:space="preserve">Compared GUIDs; corrected via supported Microsoft procedure; no clearing of previous mailbox info</t>
  </si>
  <si>
    <t xml:space="preserve">A. Admin</t>
  </si>
  <si>
    <t xml:space="preserve">Resolved</t>
  </si>
  <si>
    <t xml:space="preserve">2026-11-13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</si>
</sst>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%"/>
    <numFmt numFmtId="167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E7E6E6"/>
        <bgColor rgb="FFDDEBF7"/>
      </patternFill>
    </fill>
    <fill>
      <patternFill patternType="solid">
        <fgColor rgb="FFDDEBF7"/>
        <bgColor rgb="FFE7E6E6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C6EF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4" t="s">
        <v>5</v>
      </c>
    </row>
    <row r="6" customFormat="false" ht="15" hidden="false" customHeight="false" outlineLevel="0" collapsed="false">
      <c r="A6" s="6" t="s">
        <v>6</v>
      </c>
      <c r="B6" s="4" t="s">
        <v>7</v>
      </c>
    </row>
    <row r="7" customFormat="false" ht="15" hidden="false" customHeight="false" outlineLevel="0" collapsed="false">
      <c r="A7" s="7" t="s">
        <v>8</v>
      </c>
      <c r="B7" s="4" t="s">
        <v>9</v>
      </c>
    </row>
    <row r="8" customFormat="false" ht="23.8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/>
      <c r="B9" s="4"/>
    </row>
    <row r="10" customFormat="false" ht="15" hidden="false" customHeight="false" outlineLevel="0" collapsed="false">
      <c r="A10" s="8" t="s">
        <v>12</v>
      </c>
      <c r="B10" s="9" t="s">
        <v>13</v>
      </c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3" t="s">
        <v>16</v>
      </c>
      <c r="B12" s="4" t="s">
        <v>17</v>
      </c>
    </row>
    <row r="13" customFormat="false" ht="15" hidden="false" customHeight="false" outlineLevel="0" collapsed="false">
      <c r="A13" s="3" t="s">
        <v>18</v>
      </c>
      <c r="B13" s="4" t="s">
        <v>19</v>
      </c>
    </row>
    <row r="14" customFormat="false" ht="15" hidden="false" customHeight="false" outlineLevel="0" collapsed="false">
      <c r="A14" s="3" t="s">
        <v>20</v>
      </c>
      <c r="B14" s="4" t="s">
        <v>21</v>
      </c>
    </row>
    <row r="15" customFormat="false" ht="23.85" hidden="false" customHeight="false" outlineLevel="0" collapsed="false">
      <c r="A15" s="3" t="s">
        <v>22</v>
      </c>
      <c r="B15" s="4" t="s">
        <v>23</v>
      </c>
    </row>
    <row r="16" customFormat="false" ht="15" hidden="false" customHeight="false" outlineLevel="0" collapsed="false">
      <c r="A16" s="3" t="s">
        <v>24</v>
      </c>
      <c r="B16" s="4" t="s">
        <v>25</v>
      </c>
    </row>
    <row r="17" customFormat="false" ht="15" hidden="false" customHeight="false" outlineLevel="0" collapsed="false">
      <c r="A17" s="3" t="s">
        <v>26</v>
      </c>
      <c r="B17" s="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28</v>
      </c>
    </row>
    <row r="3" customFormat="false" ht="31.5" hidden="false" customHeight="true" outlineLevel="0" collapsed="false">
      <c r="A3" s="10" t="s">
        <v>29</v>
      </c>
      <c r="B3" s="10" t="s">
        <v>30</v>
      </c>
    </row>
    <row r="4" customFormat="false" ht="15" hidden="false" customHeight="false" outlineLevel="0" collapsed="false">
      <c r="A4" s="11" t="s">
        <v>31</v>
      </c>
      <c r="B4" s="12" t="n">
        <f aca="false">COUNTA(Users!$F$5:$F$204)</f>
        <v>1</v>
      </c>
    </row>
    <row r="5" customFormat="false" ht="15" hidden="false" customHeight="false" outlineLevel="0" collapsed="false">
      <c r="A5" s="11" t="s">
        <v>32</v>
      </c>
      <c r="B5" s="12" t="n">
        <f aca="false">COUNTIF(Users!$L$5:$L$204,"Yes")</f>
        <v>0</v>
      </c>
    </row>
    <row r="6" customFormat="false" ht="15" hidden="false" customHeight="false" outlineLevel="0" collapsed="false">
      <c r="A6" s="11" t="s">
        <v>33</v>
      </c>
      <c r="B6" s="12" t="n">
        <f aca="false">COUNTIF(Users!$T$5:$T$204,"MISMATCH")</f>
        <v>0</v>
      </c>
    </row>
    <row r="7" customFormat="false" ht="15" hidden="false" customHeight="false" outlineLevel="0" collapsed="false">
      <c r="A7" s="11" t="s">
        <v>34</v>
      </c>
      <c r="B7" s="12" t="n">
        <f aca="false">COUNTIF(Users!$U$5:$U$204,"MISMATCH")</f>
        <v>0</v>
      </c>
    </row>
    <row r="8" customFormat="false" ht="15" hidden="false" customHeight="false" outlineLevel="0" collapsed="false">
      <c r="A8" s="11" t="s">
        <v>35</v>
      </c>
      <c r="B8" s="12" t="n">
        <f aca="false">COUNTIF(Users!$V$5:$V$204,"Ready")</f>
        <v>1</v>
      </c>
    </row>
    <row r="9" customFormat="false" ht="15" hidden="false" customHeight="false" outlineLevel="0" collapsed="false">
      <c r="A9" s="11" t="s">
        <v>36</v>
      </c>
      <c r="B9" s="12" t="n">
        <f aca="false">COUNTIF(Users!$V$5:$V$204,"Not ready")</f>
        <v>0</v>
      </c>
    </row>
    <row r="10" customFormat="false" ht="15" hidden="false" customHeight="false" outlineLevel="0" collapsed="false">
      <c r="A10" s="11" t="s">
        <v>37</v>
      </c>
      <c r="B10" s="12" t="n">
        <f aca="false">COUNTIF(Users!$X$5:$X$204,"Completed")</f>
        <v>0</v>
      </c>
    </row>
    <row r="11" customFormat="false" ht="15" hidden="false" customHeight="false" outlineLevel="0" collapsed="false">
      <c r="A11" s="11" t="s">
        <v>38</v>
      </c>
      <c r="B11" s="12" t="n">
        <f aca="false">COUNTIF(Users!$X$5:$X$204,"Failed")</f>
        <v>0</v>
      </c>
    </row>
    <row r="12" customFormat="false" ht="15" hidden="false" customHeight="false" outlineLevel="0" collapsed="false">
      <c r="A12" s="11" t="s">
        <v>39</v>
      </c>
      <c r="B12" s="13" t="n">
        <f aca="false">IF(B4=0,0,B10/B4)</f>
        <v>0</v>
      </c>
    </row>
    <row r="13" customFormat="false" ht="15" hidden="false" customHeight="false" outlineLevel="0" collapsed="false">
      <c r="A13" s="11" t="s">
        <v>40</v>
      </c>
      <c r="B13" s="12" t="n">
        <f aca="false">COUNTA(Batches!$A$4:$A$23)</f>
        <v>1</v>
      </c>
    </row>
    <row r="14" customFormat="false" ht="15" hidden="false" customHeight="false" outlineLevel="0" collapsed="false">
      <c r="A14" s="11" t="s">
        <v>41</v>
      </c>
      <c r="B14" s="12" t="n">
        <f aca="false">COUNTIF(Checklist!$C$4:$C$53,"Done")</f>
        <v>0</v>
      </c>
    </row>
    <row r="15" customFormat="false" ht="15" hidden="false" customHeight="false" outlineLevel="0" collapsed="false">
      <c r="A15" s="11" t="s">
        <v>42</v>
      </c>
      <c r="B15" s="12" t="n">
        <f aca="false">COUNTIF(Checklist!$C$4:$C$53,"Blocked")</f>
        <v>0</v>
      </c>
    </row>
    <row r="16" customFormat="false" ht="15" hidden="false" customHeight="false" outlineLevel="0" collapsed="false">
      <c r="A16" s="11" t="s">
        <v>43</v>
      </c>
      <c r="B16" s="13" t="n">
        <f aca="false">IF(COUNTA(Checklist!$B$4:$B$53)-COUNTIF(Checklist!$C$4:$C$53,"N/A")=0,0,B14/(COUNTA(Checklist!$B$4:$B$53)-COUNTIF(Checklist!$C$4:$C$53,"N/A")))</f>
        <v>0</v>
      </c>
    </row>
    <row r="17" customFormat="false" ht="15" hidden="false" customHeight="false" outlineLevel="0" collapsed="false">
      <c r="A17" s="11" t="s">
        <v>44</v>
      </c>
      <c r="B17" s="12" t="n">
        <f aca="false">COUNTIF(Issues!$J$4:$J$53,"Open")+COUNTIF(Issues!$J$4:$J$53,"In progress")+COUNTIF(Issues!$J$4:$J$53,"Escalated to Microsoft")</f>
        <v>0</v>
      </c>
    </row>
    <row r="18" customFormat="false" ht="15" hidden="false" customHeight="false" outlineLevel="0" collapsed="false">
      <c r="A18" s="11" t="s">
        <v>45</v>
      </c>
      <c r="B18" s="14" t="str">
        <f aca="false">IF('App &amp; Config'!B8="","",'App &amp; Config'!B8)</f>
        <v/>
      </c>
    </row>
    <row r="21" customFormat="false" ht="15" hidden="false" customHeight="false" outlineLevel="0" collapsed="false">
      <c r="A21" s="15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38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47</v>
      </c>
    </row>
    <row r="3" customFormat="false" ht="31.5" hidden="false" customHeight="true" outlineLevel="0" collapsed="false">
      <c r="A3" s="10" t="s">
        <v>48</v>
      </c>
      <c r="B3" s="10" t="s">
        <v>49</v>
      </c>
      <c r="C3" s="10" t="s">
        <v>50</v>
      </c>
      <c r="D3" s="10" t="s">
        <v>51</v>
      </c>
    </row>
    <row r="4" customFormat="false" ht="15" hidden="false" customHeight="false" outlineLevel="0" collapsed="false">
      <c r="A4" s="16" t="s">
        <v>52</v>
      </c>
      <c r="B4" s="17"/>
      <c r="C4" s="17"/>
      <c r="D4" s="18" t="s">
        <v>53</v>
      </c>
    </row>
    <row r="5" customFormat="false" ht="15" hidden="false" customHeight="false" outlineLevel="0" collapsed="false">
      <c r="A5" s="16" t="s">
        <v>54</v>
      </c>
      <c r="B5" s="17"/>
      <c r="C5" s="17"/>
      <c r="D5" s="18" t="s">
        <v>55</v>
      </c>
    </row>
    <row r="6" customFormat="false" ht="15" hidden="false" customHeight="false" outlineLevel="0" collapsed="false">
      <c r="A6" s="16" t="s">
        <v>56</v>
      </c>
      <c r="B6" s="17"/>
      <c r="C6" s="17"/>
      <c r="D6" s="18" t="s">
        <v>57</v>
      </c>
    </row>
    <row r="7" customFormat="false" ht="15" hidden="false" customHeight="false" outlineLevel="0" collapsed="false">
      <c r="A7" s="16" t="s">
        <v>58</v>
      </c>
      <c r="B7" s="17"/>
      <c r="C7" s="17"/>
      <c r="D7" s="18" t="s">
        <v>59</v>
      </c>
    </row>
    <row r="8" customFormat="false" ht="15" hidden="false" customHeight="false" outlineLevel="0" collapsed="false">
      <c r="A8" s="16" t="s">
        <v>60</v>
      </c>
      <c r="B8" s="17"/>
      <c r="C8" s="17"/>
      <c r="D8" s="18" t="s">
        <v>61</v>
      </c>
    </row>
    <row r="9" customFormat="false" ht="15" hidden="false" customHeight="false" outlineLevel="0" collapsed="false">
      <c r="A9" s="16" t="s">
        <v>62</v>
      </c>
      <c r="B9" s="17"/>
      <c r="C9" s="17"/>
      <c r="D9" s="18" t="s">
        <v>63</v>
      </c>
    </row>
    <row r="10" customFormat="false" ht="15" hidden="false" customHeight="false" outlineLevel="0" collapsed="false">
      <c r="A10" s="16" t="s">
        <v>64</v>
      </c>
      <c r="B10" s="17"/>
      <c r="C10" s="17"/>
      <c r="D10" s="18" t="s">
        <v>65</v>
      </c>
    </row>
    <row r="11" customFormat="false" ht="15" hidden="false" customHeight="false" outlineLevel="0" collapsed="false">
      <c r="A11" s="16" t="s">
        <v>66</v>
      </c>
      <c r="B11" s="17"/>
      <c r="C11" s="17"/>
      <c r="D11" s="18" t="s">
        <v>67</v>
      </c>
    </row>
    <row r="12" customFormat="false" ht="23.85" hidden="false" customHeight="false" outlineLevel="0" collapsed="false">
      <c r="A12" s="16" t="s">
        <v>68</v>
      </c>
      <c r="B12" s="17"/>
      <c r="C12" s="17"/>
      <c r="D12" s="18" t="s">
        <v>69</v>
      </c>
    </row>
    <row r="13" customFormat="false" ht="23.85" hidden="false" customHeight="false" outlineLevel="0" collapsed="false">
      <c r="A13" s="16" t="s">
        <v>70</v>
      </c>
      <c r="B13" s="17"/>
      <c r="C13" s="17"/>
      <c r="D13" s="18" t="s">
        <v>71</v>
      </c>
    </row>
    <row r="14" customFormat="false" ht="15" hidden="false" customHeight="false" outlineLevel="0" collapsed="false">
      <c r="A14" s="16" t="s">
        <v>72</v>
      </c>
      <c r="B14" s="17"/>
      <c r="C14" s="17"/>
      <c r="D14" s="18" t="s">
        <v>73</v>
      </c>
    </row>
    <row r="15" customFormat="false" ht="15" hidden="false" customHeight="false" outlineLevel="0" collapsed="false">
      <c r="A15" s="16" t="s">
        <v>74</v>
      </c>
      <c r="B15" s="17"/>
      <c r="C15" s="17"/>
      <c r="D15" s="18" t="s">
        <v>75</v>
      </c>
    </row>
    <row r="16" customFormat="false" ht="15" hidden="false" customHeight="false" outlineLevel="0" collapsed="false">
      <c r="A16" s="16" t="s">
        <v>76</v>
      </c>
      <c r="B16" s="17"/>
      <c r="C16" s="17"/>
      <c r="D16" s="18" t="s">
        <v>77</v>
      </c>
    </row>
    <row r="17" customFormat="false" ht="23.85" hidden="false" customHeight="false" outlineLevel="0" collapsed="false">
      <c r="A17" s="16" t="s">
        <v>78</v>
      </c>
      <c r="B17" s="17"/>
      <c r="C17" s="17"/>
      <c r="D17" s="18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80</v>
      </c>
    </row>
    <row r="3" customFormat="false" ht="31.5" hidden="false" customHeight="true" outlineLevel="0" collapsed="false">
      <c r="A3" s="10" t="s">
        <v>48</v>
      </c>
      <c r="B3" s="10" t="s">
        <v>30</v>
      </c>
      <c r="C3" s="10" t="s">
        <v>81</v>
      </c>
      <c r="D3" s="10" t="s">
        <v>82</v>
      </c>
      <c r="E3" s="10" t="s">
        <v>51</v>
      </c>
    </row>
    <row r="4" customFormat="false" ht="15" hidden="false" customHeight="false" outlineLevel="0" collapsed="false">
      <c r="A4" s="16" t="s">
        <v>83</v>
      </c>
      <c r="B4" s="17"/>
      <c r="C4" s="17"/>
      <c r="D4" s="17"/>
      <c r="E4" s="18" t="s">
        <v>84</v>
      </c>
    </row>
    <row r="5" customFormat="false" ht="15" hidden="false" customHeight="false" outlineLevel="0" collapsed="false">
      <c r="A5" s="16" t="s">
        <v>85</v>
      </c>
      <c r="B5" s="17"/>
      <c r="C5" s="17"/>
      <c r="D5" s="17"/>
      <c r="E5" s="18" t="s">
        <v>86</v>
      </c>
    </row>
    <row r="6" customFormat="false" ht="15" hidden="false" customHeight="false" outlineLevel="0" collapsed="false">
      <c r="A6" s="16" t="s">
        <v>87</v>
      </c>
      <c r="B6" s="17"/>
      <c r="C6" s="17"/>
      <c r="D6" s="17"/>
      <c r="E6" s="18" t="s">
        <v>88</v>
      </c>
    </row>
    <row r="7" customFormat="false" ht="15" hidden="false" customHeight="false" outlineLevel="0" collapsed="false">
      <c r="A7" s="16" t="s">
        <v>89</v>
      </c>
      <c r="B7" s="17"/>
      <c r="C7" s="17"/>
      <c r="D7" s="17"/>
      <c r="E7" s="18" t="s">
        <v>67</v>
      </c>
    </row>
    <row r="8" customFormat="false" ht="15" hidden="false" customHeight="false" outlineLevel="0" collapsed="false">
      <c r="A8" s="16" t="s">
        <v>90</v>
      </c>
      <c r="B8" s="17"/>
      <c r="C8" s="17"/>
      <c r="D8" s="17"/>
      <c r="E8" s="18" t="s">
        <v>91</v>
      </c>
    </row>
    <row r="9" customFormat="false" ht="23.85" hidden="false" customHeight="false" outlineLevel="0" collapsed="false">
      <c r="A9" s="16" t="s">
        <v>92</v>
      </c>
      <c r="B9" s="17"/>
      <c r="C9" s="17"/>
      <c r="D9" s="17"/>
      <c r="E9" s="18" t="s">
        <v>93</v>
      </c>
    </row>
    <row r="10" customFormat="false" ht="15" hidden="false" customHeight="false" outlineLevel="0" collapsed="false">
      <c r="A10" s="16" t="s">
        <v>94</v>
      </c>
      <c r="B10" s="17"/>
      <c r="C10" s="17"/>
      <c r="D10" s="17"/>
      <c r="E10" s="18" t="s">
        <v>67</v>
      </c>
    </row>
    <row r="11" customFormat="false" ht="23.85" hidden="false" customHeight="false" outlineLevel="0" collapsed="false">
      <c r="A11" s="16" t="s">
        <v>95</v>
      </c>
      <c r="B11" s="17"/>
      <c r="C11" s="17"/>
      <c r="D11" s="17"/>
      <c r="E11" s="18" t="s">
        <v>67</v>
      </c>
    </row>
    <row r="12" customFormat="false" ht="35.05" hidden="false" customHeight="false" outlineLevel="0" collapsed="false">
      <c r="A12" s="16" t="s">
        <v>96</v>
      </c>
      <c r="B12" s="19" t="str">
        <f aca="false">IF(OR(Tenants!B6="",B5=""),"Fill in source initial domain (Tenants) and client ID (above)","https://login.microsoftonline.com/"&amp;Tenants!B6&amp;"/adminconsent?client_id="&amp;B5&amp;"&amp;redirect_uri=https://office.com")</f>
        <v>Fill in source initial domain (Tenants) and client ID (above)</v>
      </c>
      <c r="C12" s="17"/>
      <c r="D12" s="17"/>
      <c r="E12" s="18" t="s">
        <v>97</v>
      </c>
    </row>
    <row r="13" customFormat="false" ht="15" hidden="false" customHeight="false" outlineLevel="0" collapsed="false">
      <c r="A13" s="16" t="s">
        <v>98</v>
      </c>
      <c r="B13" s="17"/>
      <c r="C13" s="17"/>
      <c r="D13" s="17"/>
      <c r="E13" s="18" t="s">
        <v>99</v>
      </c>
    </row>
    <row r="14" customFormat="false" ht="15" hidden="false" customHeight="false" outlineLevel="0" collapsed="false">
      <c r="A14" s="16" t="s">
        <v>100</v>
      </c>
      <c r="B14" s="17"/>
      <c r="C14" s="17"/>
      <c r="D14" s="17"/>
      <c r="E14" s="18" t="s">
        <v>101</v>
      </c>
    </row>
    <row r="15" customFormat="false" ht="15" hidden="false" customHeight="false" outlineLevel="0" collapsed="false">
      <c r="A15" s="16" t="s">
        <v>102</v>
      </c>
      <c r="B15" s="17"/>
      <c r="C15" s="17"/>
      <c r="D15" s="17"/>
      <c r="E15" s="18" t="s">
        <v>67</v>
      </c>
    </row>
    <row r="16" customFormat="false" ht="15" hidden="false" customHeight="false" outlineLevel="0" collapsed="false">
      <c r="A16" s="16" t="s">
        <v>103</v>
      </c>
      <c r="B16" s="17"/>
      <c r="C16" s="17"/>
      <c r="D16" s="17"/>
      <c r="E16" s="18" t="s">
        <v>99</v>
      </c>
    </row>
    <row r="17" customFormat="false" ht="23.85" hidden="false" customHeight="false" outlineLevel="0" collapsed="false">
      <c r="A17" s="16" t="s">
        <v>104</v>
      </c>
      <c r="B17" s="17"/>
      <c r="C17" s="17"/>
      <c r="D17" s="17"/>
      <c r="E17" s="18" t="s">
        <v>67</v>
      </c>
    </row>
    <row r="18" customFormat="false" ht="15" hidden="false" customHeight="false" outlineLevel="0" collapsed="false">
      <c r="A18" s="16" t="s">
        <v>105</v>
      </c>
      <c r="B18" s="17"/>
      <c r="C18" s="17"/>
      <c r="D18" s="17"/>
      <c r="E18" s="18" t="s">
        <v>106</v>
      </c>
    </row>
    <row r="19" customFormat="false" ht="15" hidden="false" customHeight="false" outlineLevel="0" collapsed="false">
      <c r="A19" s="16" t="s">
        <v>107</v>
      </c>
      <c r="B19" s="17"/>
      <c r="C19" s="17"/>
      <c r="D19" s="17"/>
      <c r="E19" s="18" t="s">
        <v>108</v>
      </c>
    </row>
    <row r="20" customFormat="false" ht="23.85" hidden="false" customHeight="false" outlineLevel="0" collapsed="false">
      <c r="A20" s="16" t="s">
        <v>109</v>
      </c>
      <c r="B20" s="17"/>
      <c r="C20" s="17"/>
      <c r="D20" s="17"/>
      <c r="E20" s="18" t="s">
        <v>67</v>
      </c>
    </row>
    <row r="21" customFormat="false" ht="23.85" hidden="false" customHeight="false" outlineLevel="0" collapsed="false">
      <c r="A21" s="16" t="s">
        <v>110</v>
      </c>
      <c r="B21" s="17"/>
      <c r="C21" s="17"/>
      <c r="D21" s="17"/>
      <c r="E21" s="18" t="s">
        <v>67</v>
      </c>
    </row>
    <row r="22" customFormat="false" ht="15" hidden="false" customHeight="false" outlineLevel="0" collapsed="false">
      <c r="A22" s="16" t="s">
        <v>111</v>
      </c>
      <c r="B22" s="17"/>
      <c r="C22" s="17"/>
      <c r="D22" s="17"/>
      <c r="E22" s="18" t="s">
        <v>112</v>
      </c>
    </row>
    <row r="23" customFormat="false" ht="15" hidden="false" customHeight="false" outlineLevel="0" collapsed="false">
      <c r="A23" s="16" t="s">
        <v>113</v>
      </c>
      <c r="B23" s="17"/>
      <c r="C23" s="17"/>
      <c r="D23" s="17"/>
      <c r="E23" s="18" t="s">
        <v>114</v>
      </c>
    </row>
    <row r="24" customFormat="false" ht="15" hidden="false" customHeight="false" outlineLevel="0" collapsed="false">
      <c r="A24" s="16" t="s">
        <v>115</v>
      </c>
      <c r="B24" s="17"/>
      <c r="C24" s="17"/>
      <c r="D24" s="17"/>
      <c r="E24" s="18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117</v>
      </c>
    </row>
    <row r="3" customFormat="false" ht="31.5" hidden="false" customHeight="true" outlineLevel="0" collapsed="false">
      <c r="A3" s="10" t="s">
        <v>118</v>
      </c>
      <c r="B3" s="10" t="s">
        <v>119</v>
      </c>
      <c r="C3" s="10" t="s">
        <v>120</v>
      </c>
      <c r="D3" s="10" t="s">
        <v>121</v>
      </c>
      <c r="E3" s="10" t="s">
        <v>122</v>
      </c>
      <c r="F3" s="10" t="s">
        <v>123</v>
      </c>
      <c r="H3" s="15" t="s">
        <v>124</v>
      </c>
    </row>
    <row r="4" customFormat="false" ht="15" hidden="false" customHeight="false" outlineLevel="0" collapsed="false">
      <c r="A4" s="11" t="n">
        <v>1</v>
      </c>
      <c r="B4" s="11" t="s">
        <v>125</v>
      </c>
      <c r="C4" s="17" t="s">
        <v>126</v>
      </c>
      <c r="D4" s="17"/>
      <c r="E4" s="17"/>
      <c r="F4" s="17"/>
    </row>
    <row r="5" customFormat="false" ht="15" hidden="false" customHeight="false" outlineLevel="0" collapsed="false">
      <c r="A5" s="11" t="n">
        <v>1</v>
      </c>
      <c r="B5" s="11" t="s">
        <v>127</v>
      </c>
      <c r="C5" s="17" t="s">
        <v>126</v>
      </c>
      <c r="D5" s="17"/>
      <c r="E5" s="17"/>
      <c r="F5" s="17"/>
    </row>
    <row r="6" customFormat="false" ht="15" hidden="false" customHeight="false" outlineLevel="0" collapsed="false">
      <c r="A6" s="11" t="n">
        <v>1</v>
      </c>
      <c r="B6" s="11" t="s">
        <v>128</v>
      </c>
      <c r="C6" s="17" t="s">
        <v>126</v>
      </c>
      <c r="D6" s="17"/>
      <c r="E6" s="17"/>
      <c r="F6" s="17"/>
    </row>
    <row r="7" customFormat="false" ht="15" hidden="false" customHeight="false" outlineLevel="0" collapsed="false">
      <c r="A7" s="11" t="n">
        <v>1</v>
      </c>
      <c r="B7" s="11" t="s">
        <v>129</v>
      </c>
      <c r="C7" s="17" t="s">
        <v>126</v>
      </c>
      <c r="D7" s="17"/>
      <c r="E7" s="17"/>
      <c r="F7" s="17"/>
    </row>
    <row r="8" customFormat="false" ht="15" hidden="false" customHeight="false" outlineLevel="0" collapsed="false">
      <c r="A8" s="11" t="n">
        <v>1</v>
      </c>
      <c r="B8" s="11" t="s">
        <v>130</v>
      </c>
      <c r="C8" s="17" t="s">
        <v>126</v>
      </c>
      <c r="D8" s="17"/>
      <c r="E8" s="17"/>
      <c r="F8" s="17"/>
    </row>
    <row r="9" customFormat="false" ht="15" hidden="false" customHeight="false" outlineLevel="0" collapsed="false">
      <c r="A9" s="11" t="n">
        <v>1</v>
      </c>
      <c r="B9" s="11" t="s">
        <v>131</v>
      </c>
      <c r="C9" s="17" t="s">
        <v>126</v>
      </c>
      <c r="D9" s="17"/>
      <c r="E9" s="17"/>
      <c r="F9" s="17"/>
    </row>
    <row r="10" customFormat="false" ht="15" hidden="false" customHeight="false" outlineLevel="0" collapsed="false">
      <c r="A10" s="11" t="n">
        <v>1</v>
      </c>
      <c r="B10" s="11" t="s">
        <v>132</v>
      </c>
      <c r="C10" s="17" t="s">
        <v>126</v>
      </c>
      <c r="D10" s="17"/>
      <c r="E10" s="17"/>
      <c r="F10" s="17"/>
    </row>
    <row r="11" customFormat="false" ht="15" hidden="false" customHeight="false" outlineLevel="0" collapsed="false">
      <c r="A11" s="11" t="n">
        <v>1</v>
      </c>
      <c r="B11" s="11" t="s">
        <v>133</v>
      </c>
      <c r="C11" s="17" t="s">
        <v>126</v>
      </c>
      <c r="D11" s="17"/>
      <c r="E11" s="17"/>
      <c r="F11" s="17"/>
    </row>
    <row r="12" customFormat="false" ht="15" hidden="false" customHeight="false" outlineLevel="0" collapsed="false">
      <c r="A12" s="11" t="n">
        <v>1</v>
      </c>
      <c r="B12" s="11" t="s">
        <v>134</v>
      </c>
      <c r="C12" s="17" t="s">
        <v>126</v>
      </c>
      <c r="D12" s="17"/>
      <c r="E12" s="17"/>
      <c r="F12" s="17"/>
    </row>
    <row r="13" customFormat="false" ht="15" hidden="false" customHeight="false" outlineLevel="0" collapsed="false">
      <c r="A13" s="11" t="n">
        <v>2</v>
      </c>
      <c r="B13" s="11" t="s">
        <v>135</v>
      </c>
      <c r="C13" s="17" t="s">
        <v>126</v>
      </c>
      <c r="D13" s="17"/>
      <c r="E13" s="17"/>
      <c r="F13" s="17"/>
    </row>
    <row r="14" customFormat="false" ht="15" hidden="false" customHeight="false" outlineLevel="0" collapsed="false">
      <c r="A14" s="11" t="n">
        <v>2</v>
      </c>
      <c r="B14" s="11" t="s">
        <v>136</v>
      </c>
      <c r="C14" s="17" t="s">
        <v>126</v>
      </c>
      <c r="D14" s="17"/>
      <c r="E14" s="17"/>
      <c r="F14" s="17"/>
    </row>
    <row r="15" customFormat="false" ht="15" hidden="false" customHeight="false" outlineLevel="0" collapsed="false">
      <c r="A15" s="11" t="n">
        <v>2</v>
      </c>
      <c r="B15" s="11" t="s">
        <v>137</v>
      </c>
      <c r="C15" s="17" t="s">
        <v>126</v>
      </c>
      <c r="D15" s="17"/>
      <c r="E15" s="17"/>
      <c r="F15" s="17"/>
    </row>
    <row r="16" customFormat="false" ht="15" hidden="false" customHeight="false" outlineLevel="0" collapsed="false">
      <c r="A16" s="11" t="n">
        <v>3</v>
      </c>
      <c r="B16" s="11" t="s">
        <v>138</v>
      </c>
      <c r="C16" s="17" t="s">
        <v>126</v>
      </c>
      <c r="D16" s="17"/>
      <c r="E16" s="17"/>
      <c r="F16" s="17"/>
    </row>
    <row r="17" customFormat="false" ht="15" hidden="false" customHeight="false" outlineLevel="0" collapsed="false">
      <c r="A17" s="11" t="n">
        <v>3</v>
      </c>
      <c r="B17" s="11" t="s">
        <v>139</v>
      </c>
      <c r="C17" s="17" t="s">
        <v>126</v>
      </c>
      <c r="D17" s="17"/>
      <c r="E17" s="17"/>
      <c r="F17" s="17"/>
    </row>
    <row r="18" customFormat="false" ht="15" hidden="false" customHeight="false" outlineLevel="0" collapsed="false">
      <c r="A18" s="11" t="n">
        <v>3</v>
      </c>
      <c r="B18" s="11" t="s">
        <v>140</v>
      </c>
      <c r="C18" s="17" t="s">
        <v>126</v>
      </c>
      <c r="D18" s="17"/>
      <c r="E18" s="17"/>
      <c r="F18" s="17"/>
    </row>
    <row r="19" customFormat="false" ht="15" hidden="false" customHeight="false" outlineLevel="0" collapsed="false">
      <c r="A19" s="11" t="n">
        <v>3</v>
      </c>
      <c r="B19" s="11" t="s">
        <v>141</v>
      </c>
      <c r="C19" s="17" t="s">
        <v>126</v>
      </c>
      <c r="D19" s="17"/>
      <c r="E19" s="17"/>
      <c r="F19" s="17"/>
    </row>
    <row r="20" customFormat="false" ht="15" hidden="false" customHeight="false" outlineLevel="0" collapsed="false">
      <c r="A20" s="11" t="n">
        <v>3</v>
      </c>
      <c r="B20" s="11" t="s">
        <v>142</v>
      </c>
      <c r="C20" s="17" t="s">
        <v>126</v>
      </c>
      <c r="D20" s="17"/>
      <c r="E20" s="17"/>
      <c r="F20" s="17"/>
    </row>
    <row r="21" customFormat="false" ht="15" hidden="false" customHeight="false" outlineLevel="0" collapsed="false">
      <c r="A21" s="11" t="n">
        <v>3</v>
      </c>
      <c r="B21" s="11" t="s">
        <v>143</v>
      </c>
      <c r="C21" s="17" t="s">
        <v>126</v>
      </c>
      <c r="D21" s="17"/>
      <c r="E21" s="17"/>
      <c r="F21" s="17"/>
    </row>
    <row r="22" customFormat="false" ht="15" hidden="false" customHeight="false" outlineLevel="0" collapsed="false">
      <c r="A22" s="11" t="n">
        <v>3</v>
      </c>
      <c r="B22" s="11" t="s">
        <v>144</v>
      </c>
      <c r="C22" s="17" t="s">
        <v>126</v>
      </c>
      <c r="D22" s="17"/>
      <c r="E22" s="17"/>
      <c r="F22" s="17"/>
    </row>
    <row r="23" customFormat="false" ht="15" hidden="false" customHeight="false" outlineLevel="0" collapsed="false">
      <c r="A23" s="11" t="n">
        <v>4</v>
      </c>
      <c r="B23" s="11" t="s">
        <v>145</v>
      </c>
      <c r="C23" s="17" t="s">
        <v>126</v>
      </c>
      <c r="D23" s="17"/>
      <c r="E23" s="17"/>
      <c r="F23" s="17"/>
    </row>
    <row r="24" customFormat="false" ht="15" hidden="false" customHeight="false" outlineLevel="0" collapsed="false">
      <c r="A24" s="11" t="n">
        <v>4</v>
      </c>
      <c r="B24" s="11" t="s">
        <v>146</v>
      </c>
      <c r="C24" s="17" t="s">
        <v>126</v>
      </c>
      <c r="D24" s="17"/>
      <c r="E24" s="17"/>
      <c r="F24" s="17"/>
    </row>
    <row r="25" customFormat="false" ht="15" hidden="false" customHeight="false" outlineLevel="0" collapsed="false">
      <c r="A25" s="11" t="n">
        <v>4</v>
      </c>
      <c r="B25" s="11" t="s">
        <v>147</v>
      </c>
      <c r="C25" s="17" t="s">
        <v>126</v>
      </c>
      <c r="D25" s="17"/>
      <c r="E25" s="17"/>
      <c r="F25" s="17"/>
    </row>
    <row r="26" customFormat="false" ht="15" hidden="false" customHeight="false" outlineLevel="0" collapsed="false">
      <c r="A26" s="11" t="n">
        <v>4</v>
      </c>
      <c r="B26" s="11" t="s">
        <v>148</v>
      </c>
      <c r="C26" s="17" t="s">
        <v>126</v>
      </c>
      <c r="D26" s="17"/>
      <c r="E26" s="17"/>
      <c r="F26" s="17"/>
    </row>
    <row r="27" customFormat="false" ht="15" hidden="false" customHeight="false" outlineLevel="0" collapsed="false">
      <c r="A27" s="11" t="n">
        <v>5</v>
      </c>
      <c r="B27" s="11" t="s">
        <v>149</v>
      </c>
      <c r="C27" s="17" t="s">
        <v>126</v>
      </c>
      <c r="D27" s="17"/>
      <c r="E27" s="17"/>
      <c r="F27" s="17"/>
    </row>
    <row r="28" customFormat="false" ht="15" hidden="false" customHeight="false" outlineLevel="0" collapsed="false">
      <c r="A28" s="11" t="n">
        <v>5</v>
      </c>
      <c r="B28" s="11" t="s">
        <v>150</v>
      </c>
      <c r="C28" s="17" t="s">
        <v>126</v>
      </c>
      <c r="D28" s="17"/>
      <c r="E28" s="17"/>
      <c r="F28" s="17"/>
    </row>
    <row r="29" customFormat="false" ht="15" hidden="false" customHeight="false" outlineLevel="0" collapsed="false">
      <c r="A29" s="11" t="n">
        <v>5</v>
      </c>
      <c r="B29" s="11" t="s">
        <v>151</v>
      </c>
      <c r="C29" s="17" t="s">
        <v>126</v>
      </c>
      <c r="D29" s="17"/>
      <c r="E29" s="17"/>
      <c r="F29" s="17"/>
    </row>
    <row r="30" customFormat="false" ht="15" hidden="false" customHeight="false" outlineLevel="0" collapsed="false">
      <c r="A30" s="11" t="n">
        <v>5</v>
      </c>
      <c r="B30" s="11" t="s">
        <v>152</v>
      </c>
      <c r="C30" s="17" t="s">
        <v>126</v>
      </c>
      <c r="D30" s="17"/>
      <c r="E30" s="17"/>
      <c r="F30" s="17"/>
    </row>
    <row r="31" customFormat="false" ht="15" hidden="false" customHeight="false" outlineLevel="0" collapsed="false">
      <c r="A31" s="11" t="n">
        <v>5</v>
      </c>
      <c r="B31" s="11" t="s">
        <v>153</v>
      </c>
      <c r="C31" s="17" t="s">
        <v>126</v>
      </c>
      <c r="D31" s="17"/>
      <c r="E31" s="17"/>
      <c r="F31" s="17"/>
    </row>
    <row r="32" customFormat="false" ht="15" hidden="false" customHeight="false" outlineLevel="0" collapsed="false">
      <c r="A32" s="11" t="n">
        <v>5</v>
      </c>
      <c r="B32" s="11" t="s">
        <v>154</v>
      </c>
      <c r="C32" s="17" t="s">
        <v>126</v>
      </c>
      <c r="D32" s="17"/>
      <c r="E32" s="17"/>
      <c r="F32" s="17"/>
    </row>
    <row r="33" customFormat="false" ht="15" hidden="false" customHeight="false" outlineLevel="0" collapsed="false">
      <c r="A33" s="11" t="n">
        <v>6</v>
      </c>
      <c r="B33" s="11" t="s">
        <v>155</v>
      </c>
      <c r="C33" s="17" t="s">
        <v>126</v>
      </c>
      <c r="D33" s="17"/>
      <c r="E33" s="17"/>
      <c r="F33" s="17"/>
    </row>
    <row r="34" customFormat="false" ht="15" hidden="false" customHeight="false" outlineLevel="0" collapsed="false">
      <c r="A34" s="11" t="n">
        <v>6</v>
      </c>
      <c r="B34" s="11" t="s">
        <v>156</v>
      </c>
      <c r="C34" s="17" t="s">
        <v>126</v>
      </c>
      <c r="D34" s="17"/>
      <c r="E34" s="17"/>
      <c r="F34" s="17"/>
    </row>
    <row r="35" customFormat="false" ht="15" hidden="false" customHeight="false" outlineLevel="0" collapsed="false">
      <c r="A35" s="11" t="n">
        <v>7</v>
      </c>
      <c r="B35" s="11" t="s">
        <v>157</v>
      </c>
      <c r="C35" s="17" t="s">
        <v>126</v>
      </c>
      <c r="D35" s="17"/>
      <c r="E35" s="17"/>
      <c r="F35" s="17"/>
    </row>
    <row r="36" customFormat="false" ht="15" hidden="false" customHeight="false" outlineLevel="0" collapsed="false">
      <c r="A36" s="11" t="n">
        <v>8</v>
      </c>
      <c r="B36" s="11" t="s">
        <v>158</v>
      </c>
      <c r="C36" s="17" t="s">
        <v>126</v>
      </c>
      <c r="D36" s="17"/>
      <c r="E36" s="17"/>
      <c r="F36" s="17"/>
    </row>
    <row r="37" customFormat="false" ht="15" hidden="false" customHeight="false" outlineLevel="0" collapsed="false">
      <c r="A37" s="11" t="n">
        <v>8</v>
      </c>
      <c r="B37" s="11" t="s">
        <v>159</v>
      </c>
      <c r="C37" s="17" t="s">
        <v>126</v>
      </c>
      <c r="D37" s="17"/>
      <c r="E37" s="17"/>
      <c r="F37" s="17"/>
    </row>
    <row r="38" customFormat="false" ht="15" hidden="false" customHeight="false" outlineLevel="0" collapsed="false">
      <c r="A38" s="11" t="n">
        <v>8</v>
      </c>
      <c r="B38" s="11" t="s">
        <v>160</v>
      </c>
      <c r="C38" s="17" t="s">
        <v>126</v>
      </c>
      <c r="D38" s="17"/>
      <c r="E38" s="17"/>
      <c r="F38" s="17"/>
    </row>
    <row r="39" customFormat="false" ht="15" hidden="false" customHeight="false" outlineLevel="0" collapsed="false">
      <c r="A39" s="11" t="n">
        <v>9</v>
      </c>
      <c r="B39" s="11" t="s">
        <v>161</v>
      </c>
      <c r="C39" s="17" t="s">
        <v>126</v>
      </c>
      <c r="D39" s="17"/>
      <c r="E39" s="17"/>
      <c r="F39" s="17"/>
    </row>
    <row r="40" customFormat="false" ht="15" hidden="false" customHeight="false" outlineLevel="0" collapsed="false">
      <c r="A40" s="11" t="n">
        <v>9</v>
      </c>
      <c r="B40" s="11" t="s">
        <v>162</v>
      </c>
      <c r="C40" s="17" t="s">
        <v>126</v>
      </c>
      <c r="D40" s="17"/>
      <c r="E40" s="17"/>
      <c r="F40" s="17"/>
    </row>
    <row r="41" customFormat="false" ht="15" hidden="false" customHeight="false" outlineLevel="0" collapsed="false">
      <c r="A41" s="11" t="n">
        <v>10</v>
      </c>
      <c r="B41" s="11" t="s">
        <v>163</v>
      </c>
      <c r="C41" s="17" t="s">
        <v>126</v>
      </c>
      <c r="D41" s="17"/>
      <c r="E41" s="17"/>
      <c r="F41" s="17"/>
    </row>
    <row r="42" customFormat="false" ht="15" hidden="false" customHeight="false" outlineLevel="0" collapsed="false">
      <c r="A42" s="11" t="n">
        <v>10</v>
      </c>
      <c r="B42" s="11" t="s">
        <v>164</v>
      </c>
      <c r="C42" s="17" t="s">
        <v>126</v>
      </c>
      <c r="D42" s="17"/>
      <c r="E42" s="17"/>
      <c r="F42" s="17"/>
    </row>
    <row r="43" customFormat="false" ht="15" hidden="false" customHeight="false" outlineLevel="0" collapsed="false">
      <c r="A43" s="11" t="n">
        <v>10</v>
      </c>
      <c r="B43" s="11" t="s">
        <v>165</v>
      </c>
      <c r="C43" s="17" t="s">
        <v>126</v>
      </c>
      <c r="D43" s="17"/>
      <c r="E43" s="17"/>
      <c r="F43" s="17"/>
    </row>
    <row r="44" customFormat="false" ht="15" hidden="false" customHeight="false" outlineLevel="0" collapsed="false">
      <c r="A44" s="11" t="n">
        <v>10</v>
      </c>
      <c r="B44" s="11" t="s">
        <v>166</v>
      </c>
      <c r="C44" s="17" t="s">
        <v>126</v>
      </c>
      <c r="D44" s="17"/>
      <c r="E44" s="17"/>
      <c r="F44" s="17"/>
    </row>
    <row r="45" customFormat="false" ht="15" hidden="false" customHeight="false" outlineLevel="0" collapsed="false">
      <c r="A45" s="11" t="n">
        <v>10</v>
      </c>
      <c r="B45" s="11" t="s">
        <v>167</v>
      </c>
      <c r="C45" s="17" t="s">
        <v>126</v>
      </c>
      <c r="D45" s="17"/>
      <c r="E45" s="17"/>
      <c r="F45" s="17"/>
    </row>
    <row r="46" customFormat="false" ht="15" hidden="false" customHeight="false" outlineLevel="0" collapsed="false">
      <c r="A46" s="11" t="n">
        <v>10</v>
      </c>
      <c r="B46" s="11" t="s">
        <v>168</v>
      </c>
      <c r="C46" s="17" t="s">
        <v>126</v>
      </c>
      <c r="D46" s="17"/>
      <c r="E46" s="17"/>
      <c r="F46" s="17"/>
    </row>
    <row r="47" customFormat="false" ht="15" hidden="false" customHeight="false" outlineLevel="0" collapsed="false">
      <c r="A47" s="11" t="n">
        <v>10</v>
      </c>
      <c r="B47" s="11" t="s">
        <v>169</v>
      </c>
      <c r="C47" s="17" t="s">
        <v>126</v>
      </c>
      <c r="D47" s="17"/>
      <c r="E47" s="17"/>
      <c r="F47" s="17"/>
    </row>
    <row r="48" customFormat="false" ht="15" hidden="false" customHeight="false" outlineLevel="0" collapsed="false">
      <c r="A48" s="11" t="n">
        <v>10</v>
      </c>
      <c r="B48" s="11" t="s">
        <v>170</v>
      </c>
      <c r="C48" s="17" t="s">
        <v>126</v>
      </c>
      <c r="D48" s="17"/>
      <c r="E48" s="17"/>
      <c r="F48" s="17"/>
    </row>
    <row r="49" customFormat="false" ht="15" hidden="false" customHeight="false" outlineLevel="0" collapsed="false">
      <c r="A49" s="11" t="n">
        <v>12</v>
      </c>
      <c r="B49" s="11" t="s">
        <v>171</v>
      </c>
      <c r="C49" s="17" t="s">
        <v>126</v>
      </c>
      <c r="D49" s="17"/>
      <c r="E49" s="17"/>
      <c r="F49" s="17"/>
    </row>
    <row r="50" customFormat="false" ht="15" hidden="false" customHeight="false" outlineLevel="0" collapsed="false">
      <c r="A50" s="11" t="n">
        <v>12</v>
      </c>
      <c r="B50" s="11" t="s">
        <v>172</v>
      </c>
      <c r="C50" s="17" t="s">
        <v>126</v>
      </c>
      <c r="D50" s="17"/>
      <c r="E50" s="17"/>
      <c r="F50" s="17"/>
    </row>
    <row r="51" customFormat="false" ht="15" hidden="false" customHeight="false" outlineLevel="0" collapsed="false">
      <c r="A51" s="11" t="n">
        <v>12</v>
      </c>
      <c r="B51" s="11" t="s">
        <v>173</v>
      </c>
      <c r="C51" s="17" t="s">
        <v>126</v>
      </c>
      <c r="D51" s="17"/>
      <c r="E51" s="17"/>
      <c r="F51" s="17"/>
    </row>
    <row r="52" customFormat="false" ht="15" hidden="false" customHeight="false" outlineLevel="0" collapsed="false">
      <c r="A52" s="11" t="n">
        <v>12</v>
      </c>
      <c r="B52" s="11" t="s">
        <v>174</v>
      </c>
      <c r="C52" s="17" t="s">
        <v>126</v>
      </c>
      <c r="D52" s="17"/>
      <c r="E52" s="17"/>
      <c r="F52" s="17"/>
    </row>
    <row r="53" customFormat="false" ht="15" hidden="false" customHeight="false" outlineLevel="0" collapsed="false">
      <c r="A53" s="11" t="n">
        <v>12</v>
      </c>
      <c r="B53" s="11" t="s">
        <v>175</v>
      </c>
      <c r="C53" s="17" t="s">
        <v>126</v>
      </c>
      <c r="D53" s="17"/>
      <c r="E53" s="17"/>
      <c r="F53" s="17"/>
    </row>
  </sheetData>
  <autoFilter ref="A3:F53"/>
  <conditionalFormatting sqref="C4:C53">
    <cfRule type="cellIs" priority="2" operator="equal" aboveAverage="0" equalAverage="0" bottom="0" percent="0" rank="0" text="" dxfId="4">
      <formula>"Done"</formula>
    </cfRule>
    <cfRule type="cellIs" priority="3" operator="equal" aboveAverage="0" equalAverage="0" bottom="0" percent="0" rank="0" text="" dxfId="5">
      <formula>"Blocked"</formula>
    </cfRule>
    <cfRule type="cellIs" priority="4" operator="equal" aboveAverage="0" equalAverage="0" bottom="0" percent="0" rank="0" text="" dxfId="6">
      <formula>"In progress"</formula>
    </cfRule>
  </conditionalFormatting>
  <dataValidations count="1">
    <dataValidation allowBlank="false" errorStyle="stop" operator="between" showDropDown="false" showErrorMessage="false" showInputMessage="false" sqref="C4:C53" type="list">
      <formula1>"Not started,In progress,Done,Blocked,N/A"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28"/>
    <col collapsed="false" customWidth="true" hidden="false" outlineLevel="0" max="5" min="5" style="0" width="34"/>
    <col collapsed="false" customWidth="true" hidden="false" outlineLevel="0" max="7" min="6" style="0" width="38"/>
    <col collapsed="false" customWidth="true" hidden="false" outlineLevel="0" max="8" min="8" style="0" width="11"/>
    <col collapsed="false" customWidth="true" hidden="false" outlineLevel="0" max="9" min="9" style="0" width="48"/>
    <col collapsed="false" customWidth="true" hidden="false" outlineLevel="0" max="10" min="10" style="0" width="40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5" min="13" style="0" width="28"/>
    <col collapsed="false" customWidth="true" hidden="false" outlineLevel="0" max="17" min="16" style="0" width="38"/>
    <col collapsed="false" customWidth="true" hidden="false" outlineLevel="0" max="19" min="18" style="0" width="13"/>
    <col collapsed="false" customWidth="true" hidden="false" outlineLevel="0" max="21" min="20" style="0" width="15"/>
    <col collapsed="false" customWidth="true" hidden="false" outlineLevel="0" max="22" min="22" style="0" width="18"/>
    <col collapsed="false" customWidth="true" hidden="false" outlineLevel="0" max="23" min="23" style="0" width="28"/>
    <col collapsed="false" customWidth="true" hidden="false" outlineLevel="0" max="24" min="24" style="0" width="16"/>
    <col collapsed="false" customWidth="true" hidden="false" outlineLevel="0" max="27" min="25" style="0" width="12"/>
    <col collapsed="false" customWidth="true" hidden="false" outlineLevel="0" max="28" min="28" style="0" width="36"/>
  </cols>
  <sheetData>
    <row r="1" customFormat="false" ht="17.35" hidden="false" customHeight="false" outlineLevel="0" collapsed="false">
      <c r="A1" s="1" t="s">
        <v>176</v>
      </c>
    </row>
    <row r="2" customFormat="false" ht="15" hidden="false" customHeight="false" outlineLevel="0" collapsed="false">
      <c r="A2" s="2" t="s">
        <v>177</v>
      </c>
    </row>
    <row r="4" customFormat="false" ht="48" hidden="false" customHeight="true" outlineLevel="0" collapsed="false">
      <c r="A4" s="10" t="s">
        <v>178</v>
      </c>
      <c r="B4" s="10" t="s">
        <v>179</v>
      </c>
      <c r="C4" s="10" t="s">
        <v>180</v>
      </c>
      <c r="D4" s="10" t="s">
        <v>181</v>
      </c>
      <c r="E4" s="10" t="s">
        <v>182</v>
      </c>
      <c r="F4" s="10" t="s">
        <v>183</v>
      </c>
      <c r="G4" s="10" t="s">
        <v>184</v>
      </c>
      <c r="H4" s="10" t="s">
        <v>185</v>
      </c>
      <c r="I4" s="10" t="s">
        <v>186</v>
      </c>
      <c r="J4" s="10" t="s">
        <v>187</v>
      </c>
      <c r="K4" s="10" t="s">
        <v>188</v>
      </c>
      <c r="L4" s="10" t="s">
        <v>189</v>
      </c>
      <c r="M4" s="10" t="s">
        <v>190</v>
      </c>
      <c r="N4" s="10" t="s">
        <v>191</v>
      </c>
      <c r="O4" s="10" t="s">
        <v>192</v>
      </c>
      <c r="P4" s="10" t="s">
        <v>193</v>
      </c>
      <c r="Q4" s="10" t="s">
        <v>194</v>
      </c>
      <c r="R4" s="10" t="s">
        <v>195</v>
      </c>
      <c r="S4" s="10" t="s">
        <v>196</v>
      </c>
      <c r="T4" s="10" t="s">
        <v>197</v>
      </c>
      <c r="U4" s="10" t="s">
        <v>198</v>
      </c>
      <c r="V4" s="10" t="s">
        <v>199</v>
      </c>
      <c r="W4" s="10" t="s">
        <v>200</v>
      </c>
      <c r="X4" s="10" t="s">
        <v>201</v>
      </c>
      <c r="Y4" s="10" t="s">
        <v>202</v>
      </c>
      <c r="Z4" s="10" t="s">
        <v>203</v>
      </c>
      <c r="AA4" s="10" t="s">
        <v>204</v>
      </c>
      <c r="AB4" s="10" t="s">
        <v>205</v>
      </c>
    </row>
    <row r="5" customFormat="false" ht="23.85" hidden="false" customHeight="false" outlineLevel="0" collapsed="false">
      <c r="A5" s="19" t="n">
        <v>1</v>
      </c>
      <c r="B5" s="18" t="s">
        <v>206</v>
      </c>
      <c r="C5" s="18" t="s">
        <v>207</v>
      </c>
      <c r="D5" s="18" t="s">
        <v>207</v>
      </c>
      <c r="E5" s="18" t="s">
        <v>208</v>
      </c>
      <c r="F5" s="18" t="s">
        <v>209</v>
      </c>
      <c r="G5" s="18" t="s">
        <v>210</v>
      </c>
      <c r="H5" s="18" t="s">
        <v>67</v>
      </c>
      <c r="I5" s="18" t="s">
        <v>211</v>
      </c>
      <c r="J5" s="18" t="s">
        <v>212</v>
      </c>
      <c r="K5" s="18" t="n">
        <v>12.4</v>
      </c>
      <c r="L5" s="18" t="s">
        <v>213</v>
      </c>
      <c r="M5" s="18" t="s">
        <v>214</v>
      </c>
      <c r="N5" s="18" t="s">
        <v>215</v>
      </c>
      <c r="O5" s="18" t="s">
        <v>215</v>
      </c>
      <c r="P5" s="18" t="s">
        <v>209</v>
      </c>
      <c r="Q5" s="18" t="s">
        <v>210</v>
      </c>
      <c r="R5" s="18" t="s">
        <v>67</v>
      </c>
      <c r="S5" s="18" t="s">
        <v>67</v>
      </c>
      <c r="T5" s="19" t="str">
        <f aca="false">IF(F5="","",IF(P5="","Pending",IF(UPPER(TRIM(F5))=UPPER(TRIM(P5)),"OK","MISMATCH")))</f>
        <v>OK</v>
      </c>
      <c r="U5" s="19" t="str">
        <f aca="false">IF(F5="","",IF(H5&lt;&gt;"Yes","N/A",IF(Q5="","Pending",IF(UPPER(TRIM(G5))=UPPER(TRIM(Q5)),"OK","MISMATCH"))))</f>
        <v>OK</v>
      </c>
      <c r="V5" s="19" t="str">
        <f aca="false">IF(F5="","",IF(L5="Yes","Blocked: hold",IF(AND(T5="OK",OR(U5="OK",U5="N/A"),R5="Yes",S5="Yes"),"Ready","Not ready")))</f>
        <v>Ready</v>
      </c>
      <c r="W5" s="18" t="s">
        <v>216</v>
      </c>
      <c r="X5" s="18" t="s">
        <v>126</v>
      </c>
      <c r="Y5" s="18"/>
      <c r="Z5" s="18"/>
      <c r="AA5" s="18"/>
      <c r="AB5" s="18"/>
    </row>
    <row r="6" customFormat="false" ht="15" hidden="false" customHeight="false" outlineLevel="0" collapsed="false">
      <c r="A6" s="19" t="n">
        <v>2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9" t="str">
        <f aca="false">IF(F6="","",IF(P6="","Pending",IF(UPPER(TRIM(F6))=UPPER(TRIM(P6)),"OK","MISMATCH")))</f>
        <v/>
      </c>
      <c r="U6" s="19" t="str">
        <f aca="false">IF(F6="","",IF(H6&lt;&gt;"Yes","N/A",IF(Q6="","Pending",IF(UPPER(TRIM(G6))=UPPER(TRIM(Q6)),"OK","MISMATCH"))))</f>
        <v/>
      </c>
      <c r="V6" s="19" t="str">
        <f aca="false">IF(F6="","",IF(L6="Yes","Blocked: hold",IF(AND(T6="OK",OR(U6="OK",U6="N/A"),R6="Yes",S6="Yes"),"Ready","Not ready")))</f>
        <v/>
      </c>
      <c r="W6" s="17"/>
      <c r="X6" s="17"/>
      <c r="Y6" s="17"/>
      <c r="Z6" s="17"/>
      <c r="AA6" s="17"/>
      <c r="AB6" s="17"/>
    </row>
    <row r="7" customFormat="false" ht="15" hidden="false" customHeight="false" outlineLevel="0" collapsed="false">
      <c r="A7" s="19" t="n">
        <v>3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9" t="str">
        <f aca="false">IF(F7="","",IF(P7="","Pending",IF(UPPER(TRIM(F7))=UPPER(TRIM(P7)),"OK","MISMATCH")))</f>
        <v/>
      </c>
      <c r="U7" s="19" t="str">
        <f aca="false">IF(F7="","",IF(H7&lt;&gt;"Yes","N/A",IF(Q7="","Pending",IF(UPPER(TRIM(G7))=UPPER(TRIM(Q7)),"OK","MISMATCH"))))</f>
        <v/>
      </c>
      <c r="V7" s="19" t="str">
        <f aca="false">IF(F7="","",IF(L7="Yes","Blocked: hold",IF(AND(T7="OK",OR(U7="OK",U7="N/A"),R7="Yes",S7="Yes"),"Ready","Not ready")))</f>
        <v/>
      </c>
      <c r="W7" s="17"/>
      <c r="X7" s="17"/>
      <c r="Y7" s="17"/>
      <c r="Z7" s="17"/>
      <c r="AA7" s="17"/>
      <c r="AB7" s="17"/>
    </row>
    <row r="8" customFormat="false" ht="15" hidden="false" customHeight="false" outlineLevel="0" collapsed="false">
      <c r="A8" s="19" t="n">
        <v>4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9" t="str">
        <f aca="false">IF(F8="","",IF(P8="","Pending",IF(UPPER(TRIM(F8))=UPPER(TRIM(P8)),"OK","MISMATCH")))</f>
        <v/>
      </c>
      <c r="U8" s="19" t="str">
        <f aca="false">IF(F8="","",IF(H8&lt;&gt;"Yes","N/A",IF(Q8="","Pending",IF(UPPER(TRIM(G8))=UPPER(TRIM(Q8)),"OK","MISMATCH"))))</f>
        <v/>
      </c>
      <c r="V8" s="19" t="str">
        <f aca="false">IF(F8="","",IF(L8="Yes","Blocked: hold",IF(AND(T8="OK",OR(U8="OK",U8="N/A"),R8="Yes",S8="Yes"),"Ready","Not ready")))</f>
        <v/>
      </c>
      <c r="W8" s="17"/>
      <c r="X8" s="17"/>
      <c r="Y8" s="17"/>
      <c r="Z8" s="17"/>
      <c r="AA8" s="17"/>
      <c r="AB8" s="17"/>
    </row>
    <row r="9" customFormat="false" ht="15" hidden="false" customHeight="false" outlineLevel="0" collapsed="false">
      <c r="A9" s="19" t="n">
        <v>5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9" t="str">
        <f aca="false">IF(F9="","",IF(P9="","Pending",IF(UPPER(TRIM(F9))=UPPER(TRIM(P9)),"OK","MISMATCH")))</f>
        <v/>
      </c>
      <c r="U9" s="19" t="str">
        <f aca="false">IF(F9="","",IF(H9&lt;&gt;"Yes","N/A",IF(Q9="","Pending",IF(UPPER(TRIM(G9))=UPPER(TRIM(Q9)),"OK","MISMATCH"))))</f>
        <v/>
      </c>
      <c r="V9" s="19" t="str">
        <f aca="false">IF(F9="","",IF(L9="Yes","Blocked: hold",IF(AND(T9="OK",OR(U9="OK",U9="N/A"),R9="Yes",S9="Yes"),"Ready","Not ready")))</f>
        <v/>
      </c>
      <c r="W9" s="17"/>
      <c r="X9" s="17"/>
      <c r="Y9" s="17"/>
      <c r="Z9" s="17"/>
      <c r="AA9" s="17"/>
      <c r="AB9" s="17"/>
    </row>
    <row r="10" customFormat="false" ht="15" hidden="false" customHeight="false" outlineLevel="0" collapsed="false">
      <c r="A10" s="19" t="n">
        <v>6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9" t="str">
        <f aca="false">IF(F10="","",IF(P10="","Pending",IF(UPPER(TRIM(F10))=UPPER(TRIM(P10)),"OK","MISMATCH")))</f>
        <v/>
      </c>
      <c r="U10" s="19" t="str">
        <f aca="false">IF(F10="","",IF(H10&lt;&gt;"Yes","N/A",IF(Q10="","Pending",IF(UPPER(TRIM(G10))=UPPER(TRIM(Q10)),"OK","MISMATCH"))))</f>
        <v/>
      </c>
      <c r="V10" s="19" t="str">
        <f aca="false">IF(F10="","",IF(L10="Yes","Blocked: hold",IF(AND(T10="OK",OR(U10="OK",U10="N/A"),R10="Yes",S10="Yes"),"Ready","Not ready")))</f>
        <v/>
      </c>
      <c r="W10" s="17"/>
      <c r="X10" s="17"/>
      <c r="Y10" s="17"/>
      <c r="Z10" s="17"/>
      <c r="AA10" s="17"/>
      <c r="AB10" s="17"/>
    </row>
    <row r="11" customFormat="false" ht="15" hidden="false" customHeight="false" outlineLevel="0" collapsed="false">
      <c r="A11" s="19" t="n">
        <v>7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9" t="str">
        <f aca="false">IF(F11="","",IF(P11="","Pending",IF(UPPER(TRIM(F11))=UPPER(TRIM(P11)),"OK","MISMATCH")))</f>
        <v/>
      </c>
      <c r="U11" s="19" t="str">
        <f aca="false">IF(F11="","",IF(H11&lt;&gt;"Yes","N/A",IF(Q11="","Pending",IF(UPPER(TRIM(G11))=UPPER(TRIM(Q11)),"OK","MISMATCH"))))</f>
        <v/>
      </c>
      <c r="V11" s="19" t="str">
        <f aca="false">IF(F11="","",IF(L11="Yes","Blocked: hold",IF(AND(T11="OK",OR(U11="OK",U11="N/A"),R11="Yes",S11="Yes"),"Ready","Not ready")))</f>
        <v/>
      </c>
      <c r="W11" s="17"/>
      <c r="X11" s="17"/>
      <c r="Y11" s="17"/>
      <c r="Z11" s="17"/>
      <c r="AA11" s="17"/>
      <c r="AB11" s="17"/>
    </row>
    <row r="12" customFormat="false" ht="15" hidden="false" customHeight="false" outlineLevel="0" collapsed="false">
      <c r="A12" s="19" t="n">
        <v>8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9" t="str">
        <f aca="false">IF(F12="","",IF(P12="","Pending",IF(UPPER(TRIM(F12))=UPPER(TRIM(P12)),"OK","MISMATCH")))</f>
        <v/>
      </c>
      <c r="U12" s="19" t="str">
        <f aca="false">IF(F12="","",IF(H12&lt;&gt;"Yes","N/A",IF(Q12="","Pending",IF(UPPER(TRIM(G12))=UPPER(TRIM(Q12)),"OK","MISMATCH"))))</f>
        <v/>
      </c>
      <c r="V12" s="19" t="str">
        <f aca="false">IF(F12="","",IF(L12="Yes","Blocked: hold",IF(AND(T12="OK",OR(U12="OK",U12="N/A"),R12="Yes",S12="Yes"),"Ready","Not ready")))</f>
        <v/>
      </c>
      <c r="W12" s="17"/>
      <c r="X12" s="17"/>
      <c r="Y12" s="17"/>
      <c r="Z12" s="17"/>
      <c r="AA12" s="17"/>
      <c r="AB12" s="17"/>
    </row>
    <row r="13" customFormat="false" ht="15" hidden="false" customHeight="false" outlineLevel="0" collapsed="false">
      <c r="A13" s="19" t="n">
        <v>9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9" t="str">
        <f aca="false">IF(F13="","",IF(P13="","Pending",IF(UPPER(TRIM(F13))=UPPER(TRIM(P13)),"OK","MISMATCH")))</f>
        <v/>
      </c>
      <c r="U13" s="19" t="str">
        <f aca="false">IF(F13="","",IF(H13&lt;&gt;"Yes","N/A",IF(Q13="","Pending",IF(UPPER(TRIM(G13))=UPPER(TRIM(Q13)),"OK","MISMATCH"))))</f>
        <v/>
      </c>
      <c r="V13" s="19" t="str">
        <f aca="false">IF(F13="","",IF(L13="Yes","Blocked: hold",IF(AND(T13="OK",OR(U13="OK",U13="N/A"),R13="Yes",S13="Yes"),"Ready","Not ready")))</f>
        <v/>
      </c>
      <c r="W13" s="17"/>
      <c r="X13" s="17"/>
      <c r="Y13" s="17"/>
      <c r="Z13" s="17"/>
      <c r="AA13" s="17"/>
      <c r="AB13" s="17"/>
    </row>
    <row r="14" customFormat="false" ht="15" hidden="false" customHeight="false" outlineLevel="0" collapsed="false">
      <c r="A14" s="19" t="n">
        <v>10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9" t="str">
        <f aca="false">IF(F14="","",IF(P14="","Pending",IF(UPPER(TRIM(F14))=UPPER(TRIM(P14)),"OK","MISMATCH")))</f>
        <v/>
      </c>
      <c r="U14" s="19" t="str">
        <f aca="false">IF(F14="","",IF(H14&lt;&gt;"Yes","N/A",IF(Q14="","Pending",IF(UPPER(TRIM(G14))=UPPER(TRIM(Q14)),"OK","MISMATCH"))))</f>
        <v/>
      </c>
      <c r="V14" s="19" t="str">
        <f aca="false">IF(F14="","",IF(L14="Yes","Blocked: hold",IF(AND(T14="OK",OR(U14="OK",U14="N/A"),R14="Yes",S14="Yes"),"Ready","Not ready")))</f>
        <v/>
      </c>
      <c r="W14" s="17"/>
      <c r="X14" s="17"/>
      <c r="Y14" s="17"/>
      <c r="Z14" s="17"/>
      <c r="AA14" s="17"/>
      <c r="AB14" s="17"/>
    </row>
    <row r="15" customFormat="false" ht="15" hidden="false" customHeight="false" outlineLevel="0" collapsed="false">
      <c r="A15" s="19" t="n">
        <v>11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9" t="str">
        <f aca="false">IF(F15="","",IF(P15="","Pending",IF(UPPER(TRIM(F15))=UPPER(TRIM(P15)),"OK","MISMATCH")))</f>
        <v/>
      </c>
      <c r="U15" s="19" t="str">
        <f aca="false">IF(F15="","",IF(H15&lt;&gt;"Yes","N/A",IF(Q15="","Pending",IF(UPPER(TRIM(G15))=UPPER(TRIM(Q15)),"OK","MISMATCH"))))</f>
        <v/>
      </c>
      <c r="V15" s="19" t="str">
        <f aca="false">IF(F15="","",IF(L15="Yes","Blocked: hold",IF(AND(T15="OK",OR(U15="OK",U15="N/A"),R15="Yes",S15="Yes"),"Ready","Not ready")))</f>
        <v/>
      </c>
      <c r="W15" s="17"/>
      <c r="X15" s="17"/>
      <c r="Y15" s="17"/>
      <c r="Z15" s="17"/>
      <c r="AA15" s="17"/>
      <c r="AB15" s="17"/>
    </row>
    <row r="16" customFormat="false" ht="15" hidden="false" customHeight="false" outlineLevel="0" collapsed="false">
      <c r="A16" s="19" t="n">
        <v>12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9" t="str">
        <f aca="false">IF(F16="","",IF(P16="","Pending",IF(UPPER(TRIM(F16))=UPPER(TRIM(P16)),"OK","MISMATCH")))</f>
        <v/>
      </c>
      <c r="U16" s="19" t="str">
        <f aca="false">IF(F16="","",IF(H16&lt;&gt;"Yes","N/A",IF(Q16="","Pending",IF(UPPER(TRIM(G16))=UPPER(TRIM(Q16)),"OK","MISMATCH"))))</f>
        <v/>
      </c>
      <c r="V16" s="19" t="str">
        <f aca="false">IF(F16="","",IF(L16="Yes","Blocked: hold",IF(AND(T16="OK",OR(U16="OK",U16="N/A"),R16="Yes",S16="Yes"),"Ready","Not ready")))</f>
        <v/>
      </c>
      <c r="W16" s="17"/>
      <c r="X16" s="17"/>
      <c r="Y16" s="17"/>
      <c r="Z16" s="17"/>
      <c r="AA16" s="17"/>
      <c r="AB16" s="17"/>
    </row>
    <row r="17" customFormat="false" ht="15" hidden="false" customHeight="false" outlineLevel="0" collapsed="false">
      <c r="A17" s="19" t="n">
        <v>13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9" t="str">
        <f aca="false">IF(F17="","",IF(P17="","Pending",IF(UPPER(TRIM(F17))=UPPER(TRIM(P17)),"OK","MISMATCH")))</f>
        <v/>
      </c>
      <c r="U17" s="19" t="str">
        <f aca="false">IF(F17="","",IF(H17&lt;&gt;"Yes","N/A",IF(Q17="","Pending",IF(UPPER(TRIM(G17))=UPPER(TRIM(Q17)),"OK","MISMATCH"))))</f>
        <v/>
      </c>
      <c r="V17" s="19" t="str">
        <f aca="false">IF(F17="","",IF(L17="Yes","Blocked: hold",IF(AND(T17="OK",OR(U17="OK",U17="N/A"),R17="Yes",S17="Yes"),"Ready","Not ready")))</f>
        <v/>
      </c>
      <c r="W17" s="17"/>
      <c r="X17" s="17"/>
      <c r="Y17" s="17"/>
      <c r="Z17" s="17"/>
      <c r="AA17" s="17"/>
      <c r="AB17" s="17"/>
    </row>
    <row r="18" customFormat="false" ht="15" hidden="false" customHeight="false" outlineLevel="0" collapsed="false">
      <c r="A18" s="19" t="n">
        <v>14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9" t="str">
        <f aca="false">IF(F18="","",IF(P18="","Pending",IF(UPPER(TRIM(F18))=UPPER(TRIM(P18)),"OK","MISMATCH")))</f>
        <v/>
      </c>
      <c r="U18" s="19" t="str">
        <f aca="false">IF(F18="","",IF(H18&lt;&gt;"Yes","N/A",IF(Q18="","Pending",IF(UPPER(TRIM(G18))=UPPER(TRIM(Q18)),"OK","MISMATCH"))))</f>
        <v/>
      </c>
      <c r="V18" s="19" t="str">
        <f aca="false">IF(F18="","",IF(L18="Yes","Blocked: hold",IF(AND(T18="OK",OR(U18="OK",U18="N/A"),R18="Yes",S18="Yes"),"Ready","Not ready")))</f>
        <v/>
      </c>
      <c r="W18" s="17"/>
      <c r="X18" s="17"/>
      <c r="Y18" s="17"/>
      <c r="Z18" s="17"/>
      <c r="AA18" s="17"/>
      <c r="AB18" s="17"/>
    </row>
    <row r="19" customFormat="false" ht="15" hidden="false" customHeight="false" outlineLevel="0" collapsed="false">
      <c r="A19" s="19" t="n">
        <v>15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9" t="str">
        <f aca="false">IF(F19="","",IF(P19="","Pending",IF(UPPER(TRIM(F19))=UPPER(TRIM(P19)),"OK","MISMATCH")))</f>
        <v/>
      </c>
      <c r="U19" s="19" t="str">
        <f aca="false">IF(F19="","",IF(H19&lt;&gt;"Yes","N/A",IF(Q19="","Pending",IF(UPPER(TRIM(G19))=UPPER(TRIM(Q19)),"OK","MISMATCH"))))</f>
        <v/>
      </c>
      <c r="V19" s="19" t="str">
        <f aca="false">IF(F19="","",IF(L19="Yes","Blocked: hold",IF(AND(T19="OK",OR(U19="OK",U19="N/A"),R19="Yes",S19="Yes"),"Ready","Not ready")))</f>
        <v/>
      </c>
      <c r="W19" s="17"/>
      <c r="X19" s="17"/>
      <c r="Y19" s="17"/>
      <c r="Z19" s="17"/>
      <c r="AA19" s="17"/>
      <c r="AB19" s="17"/>
    </row>
    <row r="20" customFormat="false" ht="15" hidden="false" customHeight="false" outlineLevel="0" collapsed="false">
      <c r="A20" s="19" t="n">
        <v>16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9" t="str">
        <f aca="false">IF(F20="","",IF(P20="","Pending",IF(UPPER(TRIM(F20))=UPPER(TRIM(P20)),"OK","MISMATCH")))</f>
        <v/>
      </c>
      <c r="U20" s="19" t="str">
        <f aca="false">IF(F20="","",IF(H20&lt;&gt;"Yes","N/A",IF(Q20="","Pending",IF(UPPER(TRIM(G20))=UPPER(TRIM(Q20)),"OK","MISMATCH"))))</f>
        <v/>
      </c>
      <c r="V20" s="19" t="str">
        <f aca="false">IF(F20="","",IF(L20="Yes","Blocked: hold",IF(AND(T20="OK",OR(U20="OK",U20="N/A"),R20="Yes",S20="Yes"),"Ready","Not ready")))</f>
        <v/>
      </c>
      <c r="W20" s="17"/>
      <c r="X20" s="17"/>
      <c r="Y20" s="17"/>
      <c r="Z20" s="17"/>
      <c r="AA20" s="17"/>
      <c r="AB20" s="17"/>
    </row>
    <row r="21" customFormat="false" ht="15" hidden="false" customHeight="false" outlineLevel="0" collapsed="false">
      <c r="A21" s="19" t="n">
        <v>17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9" t="str">
        <f aca="false">IF(F21="","",IF(P21="","Pending",IF(UPPER(TRIM(F21))=UPPER(TRIM(P21)),"OK","MISMATCH")))</f>
        <v/>
      </c>
      <c r="U21" s="19" t="str">
        <f aca="false">IF(F21="","",IF(H21&lt;&gt;"Yes","N/A",IF(Q21="","Pending",IF(UPPER(TRIM(G21))=UPPER(TRIM(Q21)),"OK","MISMATCH"))))</f>
        <v/>
      </c>
      <c r="V21" s="19" t="str">
        <f aca="false">IF(F21="","",IF(L21="Yes","Blocked: hold",IF(AND(T21="OK",OR(U21="OK",U21="N/A"),R21="Yes",S21="Yes"),"Ready","Not ready")))</f>
        <v/>
      </c>
      <c r="W21" s="17"/>
      <c r="X21" s="17"/>
      <c r="Y21" s="17"/>
      <c r="Z21" s="17"/>
      <c r="AA21" s="17"/>
      <c r="AB21" s="17"/>
    </row>
    <row r="22" customFormat="false" ht="15" hidden="false" customHeight="false" outlineLevel="0" collapsed="false">
      <c r="A22" s="19" t="n">
        <v>18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9" t="str">
        <f aca="false">IF(F22="","",IF(P22="","Pending",IF(UPPER(TRIM(F22))=UPPER(TRIM(P22)),"OK","MISMATCH")))</f>
        <v/>
      </c>
      <c r="U22" s="19" t="str">
        <f aca="false">IF(F22="","",IF(H22&lt;&gt;"Yes","N/A",IF(Q22="","Pending",IF(UPPER(TRIM(G22))=UPPER(TRIM(Q22)),"OK","MISMATCH"))))</f>
        <v/>
      </c>
      <c r="V22" s="19" t="str">
        <f aca="false">IF(F22="","",IF(L22="Yes","Blocked: hold",IF(AND(T22="OK",OR(U22="OK",U22="N/A"),R22="Yes",S22="Yes"),"Ready","Not ready")))</f>
        <v/>
      </c>
      <c r="W22" s="17"/>
      <c r="X22" s="17"/>
      <c r="Y22" s="17"/>
      <c r="Z22" s="17"/>
      <c r="AA22" s="17"/>
      <c r="AB22" s="17"/>
    </row>
    <row r="23" customFormat="false" ht="15" hidden="false" customHeight="false" outlineLevel="0" collapsed="false">
      <c r="A23" s="19" t="n">
        <v>19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9" t="str">
        <f aca="false">IF(F23="","",IF(P23="","Pending",IF(UPPER(TRIM(F23))=UPPER(TRIM(P23)),"OK","MISMATCH")))</f>
        <v/>
      </c>
      <c r="U23" s="19" t="str">
        <f aca="false">IF(F23="","",IF(H23&lt;&gt;"Yes","N/A",IF(Q23="","Pending",IF(UPPER(TRIM(G23))=UPPER(TRIM(Q23)),"OK","MISMATCH"))))</f>
        <v/>
      </c>
      <c r="V23" s="19" t="str">
        <f aca="false">IF(F23="","",IF(L23="Yes","Blocked: hold",IF(AND(T23="OK",OR(U23="OK",U23="N/A"),R23="Yes",S23="Yes"),"Ready","Not ready")))</f>
        <v/>
      </c>
      <c r="W23" s="17"/>
      <c r="X23" s="17"/>
      <c r="Y23" s="17"/>
      <c r="Z23" s="17"/>
      <c r="AA23" s="17"/>
      <c r="AB23" s="17"/>
    </row>
    <row r="24" customFormat="false" ht="15" hidden="false" customHeight="false" outlineLevel="0" collapsed="false">
      <c r="A24" s="19" t="n">
        <v>20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9" t="str">
        <f aca="false">IF(F24="","",IF(P24="","Pending",IF(UPPER(TRIM(F24))=UPPER(TRIM(P24)),"OK","MISMATCH")))</f>
        <v/>
      </c>
      <c r="U24" s="19" t="str">
        <f aca="false">IF(F24="","",IF(H24&lt;&gt;"Yes","N/A",IF(Q24="","Pending",IF(UPPER(TRIM(G24))=UPPER(TRIM(Q24)),"OK","MISMATCH"))))</f>
        <v/>
      </c>
      <c r="V24" s="19" t="str">
        <f aca="false">IF(F24="","",IF(L24="Yes","Blocked: hold",IF(AND(T24="OK",OR(U24="OK",U24="N/A"),R24="Yes",S24="Yes"),"Ready","Not ready")))</f>
        <v/>
      </c>
      <c r="W24" s="17"/>
      <c r="X24" s="17"/>
      <c r="Y24" s="17"/>
      <c r="Z24" s="17"/>
      <c r="AA24" s="17"/>
      <c r="AB24" s="17"/>
    </row>
    <row r="25" customFormat="false" ht="15" hidden="false" customHeight="false" outlineLevel="0" collapsed="false">
      <c r="A25" s="19" t="n">
        <v>21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9" t="str">
        <f aca="false">IF(F25="","",IF(P25="","Pending",IF(UPPER(TRIM(F25))=UPPER(TRIM(P25)),"OK","MISMATCH")))</f>
        <v/>
      </c>
      <c r="U25" s="19" t="str">
        <f aca="false">IF(F25="","",IF(H25&lt;&gt;"Yes","N/A",IF(Q25="","Pending",IF(UPPER(TRIM(G25))=UPPER(TRIM(Q25)),"OK","MISMATCH"))))</f>
        <v/>
      </c>
      <c r="V25" s="19" t="str">
        <f aca="false">IF(F25="","",IF(L25="Yes","Blocked: hold",IF(AND(T25="OK",OR(U25="OK",U25="N/A"),R25="Yes",S25="Yes"),"Ready","Not ready")))</f>
        <v/>
      </c>
      <c r="W25" s="17"/>
      <c r="X25" s="17"/>
      <c r="Y25" s="17"/>
      <c r="Z25" s="17"/>
      <c r="AA25" s="17"/>
      <c r="AB25" s="17"/>
    </row>
    <row r="26" customFormat="false" ht="15" hidden="false" customHeight="false" outlineLevel="0" collapsed="false">
      <c r="A26" s="19" t="n">
        <v>22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9" t="str">
        <f aca="false">IF(F26="","",IF(P26="","Pending",IF(UPPER(TRIM(F26))=UPPER(TRIM(P26)),"OK","MISMATCH")))</f>
        <v/>
      </c>
      <c r="U26" s="19" t="str">
        <f aca="false">IF(F26="","",IF(H26&lt;&gt;"Yes","N/A",IF(Q26="","Pending",IF(UPPER(TRIM(G26))=UPPER(TRIM(Q26)),"OK","MISMATCH"))))</f>
        <v/>
      </c>
      <c r="V26" s="19" t="str">
        <f aca="false">IF(F26="","",IF(L26="Yes","Blocked: hold",IF(AND(T26="OK",OR(U26="OK",U26="N/A"),R26="Yes",S26="Yes"),"Ready","Not ready")))</f>
        <v/>
      </c>
      <c r="W26" s="17"/>
      <c r="X26" s="17"/>
      <c r="Y26" s="17"/>
      <c r="Z26" s="17"/>
      <c r="AA26" s="17"/>
      <c r="AB26" s="17"/>
    </row>
    <row r="27" customFormat="false" ht="15" hidden="false" customHeight="false" outlineLevel="0" collapsed="false">
      <c r="A27" s="19" t="n">
        <v>23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9" t="str">
        <f aca="false">IF(F27="","",IF(P27="","Pending",IF(UPPER(TRIM(F27))=UPPER(TRIM(P27)),"OK","MISMATCH")))</f>
        <v/>
      </c>
      <c r="U27" s="19" t="str">
        <f aca="false">IF(F27="","",IF(H27&lt;&gt;"Yes","N/A",IF(Q27="","Pending",IF(UPPER(TRIM(G27))=UPPER(TRIM(Q27)),"OK","MISMATCH"))))</f>
        <v/>
      </c>
      <c r="V27" s="19" t="str">
        <f aca="false">IF(F27="","",IF(L27="Yes","Blocked: hold",IF(AND(T27="OK",OR(U27="OK",U27="N/A"),R27="Yes",S27="Yes"),"Ready","Not ready")))</f>
        <v/>
      </c>
      <c r="W27" s="17"/>
      <c r="X27" s="17"/>
      <c r="Y27" s="17"/>
      <c r="Z27" s="17"/>
      <c r="AA27" s="17"/>
      <c r="AB27" s="17"/>
    </row>
    <row r="28" customFormat="false" ht="15" hidden="false" customHeight="false" outlineLevel="0" collapsed="false">
      <c r="A28" s="19" t="n">
        <v>24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9" t="str">
        <f aca="false">IF(F28="","",IF(P28="","Pending",IF(UPPER(TRIM(F28))=UPPER(TRIM(P28)),"OK","MISMATCH")))</f>
        <v/>
      </c>
      <c r="U28" s="19" t="str">
        <f aca="false">IF(F28="","",IF(H28&lt;&gt;"Yes","N/A",IF(Q28="","Pending",IF(UPPER(TRIM(G28))=UPPER(TRIM(Q28)),"OK","MISMATCH"))))</f>
        <v/>
      </c>
      <c r="V28" s="19" t="str">
        <f aca="false">IF(F28="","",IF(L28="Yes","Blocked: hold",IF(AND(T28="OK",OR(U28="OK",U28="N/A"),R28="Yes",S28="Yes"),"Ready","Not ready")))</f>
        <v/>
      </c>
      <c r="W28" s="17"/>
      <c r="X28" s="17"/>
      <c r="Y28" s="17"/>
      <c r="Z28" s="17"/>
      <c r="AA28" s="17"/>
      <c r="AB28" s="17"/>
    </row>
    <row r="29" customFormat="false" ht="15" hidden="false" customHeight="false" outlineLevel="0" collapsed="false">
      <c r="A29" s="19" t="n">
        <v>25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9" t="str">
        <f aca="false">IF(F29="","",IF(P29="","Pending",IF(UPPER(TRIM(F29))=UPPER(TRIM(P29)),"OK","MISMATCH")))</f>
        <v/>
      </c>
      <c r="U29" s="19" t="str">
        <f aca="false">IF(F29="","",IF(H29&lt;&gt;"Yes","N/A",IF(Q29="","Pending",IF(UPPER(TRIM(G29))=UPPER(TRIM(Q29)),"OK","MISMATCH"))))</f>
        <v/>
      </c>
      <c r="V29" s="19" t="str">
        <f aca="false">IF(F29="","",IF(L29="Yes","Blocked: hold",IF(AND(T29="OK",OR(U29="OK",U29="N/A"),R29="Yes",S29="Yes"),"Ready","Not ready")))</f>
        <v/>
      </c>
      <c r="W29" s="17"/>
      <c r="X29" s="17"/>
      <c r="Y29" s="17"/>
      <c r="Z29" s="17"/>
      <c r="AA29" s="17"/>
      <c r="AB29" s="17"/>
    </row>
    <row r="30" customFormat="false" ht="15" hidden="false" customHeight="false" outlineLevel="0" collapsed="false">
      <c r="A30" s="19" t="n">
        <v>26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9" t="str">
        <f aca="false">IF(F30="","",IF(P30="","Pending",IF(UPPER(TRIM(F30))=UPPER(TRIM(P30)),"OK","MISMATCH")))</f>
        <v/>
      </c>
      <c r="U30" s="19" t="str">
        <f aca="false">IF(F30="","",IF(H30&lt;&gt;"Yes","N/A",IF(Q30="","Pending",IF(UPPER(TRIM(G30))=UPPER(TRIM(Q30)),"OK","MISMATCH"))))</f>
        <v/>
      </c>
      <c r="V30" s="19" t="str">
        <f aca="false">IF(F30="","",IF(L30="Yes","Blocked: hold",IF(AND(T30="OK",OR(U30="OK",U30="N/A"),R30="Yes",S30="Yes"),"Ready","Not ready")))</f>
        <v/>
      </c>
      <c r="W30" s="17"/>
      <c r="X30" s="17"/>
      <c r="Y30" s="17"/>
      <c r="Z30" s="17"/>
      <c r="AA30" s="17"/>
      <c r="AB30" s="17"/>
    </row>
    <row r="31" customFormat="false" ht="15" hidden="false" customHeight="false" outlineLevel="0" collapsed="false">
      <c r="A31" s="19" t="n">
        <v>27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9" t="str">
        <f aca="false">IF(F31="","",IF(P31="","Pending",IF(UPPER(TRIM(F31))=UPPER(TRIM(P31)),"OK","MISMATCH")))</f>
        <v/>
      </c>
      <c r="U31" s="19" t="str">
        <f aca="false">IF(F31="","",IF(H31&lt;&gt;"Yes","N/A",IF(Q31="","Pending",IF(UPPER(TRIM(G31))=UPPER(TRIM(Q31)),"OK","MISMATCH"))))</f>
        <v/>
      </c>
      <c r="V31" s="19" t="str">
        <f aca="false">IF(F31="","",IF(L31="Yes","Blocked: hold",IF(AND(T31="OK",OR(U31="OK",U31="N/A"),R31="Yes",S31="Yes"),"Ready","Not ready")))</f>
        <v/>
      </c>
      <c r="W31" s="17"/>
      <c r="X31" s="17"/>
      <c r="Y31" s="17"/>
      <c r="Z31" s="17"/>
      <c r="AA31" s="17"/>
      <c r="AB31" s="17"/>
    </row>
    <row r="32" customFormat="false" ht="15" hidden="false" customHeight="false" outlineLevel="0" collapsed="false">
      <c r="A32" s="19" t="n">
        <v>28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9" t="str">
        <f aca="false">IF(F32="","",IF(P32="","Pending",IF(UPPER(TRIM(F32))=UPPER(TRIM(P32)),"OK","MISMATCH")))</f>
        <v/>
      </c>
      <c r="U32" s="19" t="str">
        <f aca="false">IF(F32="","",IF(H32&lt;&gt;"Yes","N/A",IF(Q32="","Pending",IF(UPPER(TRIM(G32))=UPPER(TRIM(Q32)),"OK","MISMATCH"))))</f>
        <v/>
      </c>
      <c r="V32" s="19" t="str">
        <f aca="false">IF(F32="","",IF(L32="Yes","Blocked: hold",IF(AND(T32="OK",OR(U32="OK",U32="N/A"),R32="Yes",S32="Yes"),"Ready","Not ready")))</f>
        <v/>
      </c>
      <c r="W32" s="17"/>
      <c r="X32" s="17"/>
      <c r="Y32" s="17"/>
      <c r="Z32" s="17"/>
      <c r="AA32" s="17"/>
      <c r="AB32" s="17"/>
    </row>
    <row r="33" customFormat="false" ht="15" hidden="false" customHeight="false" outlineLevel="0" collapsed="false">
      <c r="A33" s="19" t="n">
        <v>29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9" t="str">
        <f aca="false">IF(F33="","",IF(P33="","Pending",IF(UPPER(TRIM(F33))=UPPER(TRIM(P33)),"OK","MISMATCH")))</f>
        <v/>
      </c>
      <c r="U33" s="19" t="str">
        <f aca="false">IF(F33="","",IF(H33&lt;&gt;"Yes","N/A",IF(Q33="","Pending",IF(UPPER(TRIM(G33))=UPPER(TRIM(Q33)),"OK","MISMATCH"))))</f>
        <v/>
      </c>
      <c r="V33" s="19" t="str">
        <f aca="false">IF(F33="","",IF(L33="Yes","Blocked: hold",IF(AND(T33="OK",OR(U33="OK",U33="N/A"),R33="Yes",S33="Yes"),"Ready","Not ready")))</f>
        <v/>
      </c>
      <c r="W33" s="17"/>
      <c r="X33" s="17"/>
      <c r="Y33" s="17"/>
      <c r="Z33" s="17"/>
      <c r="AA33" s="17"/>
      <c r="AB33" s="17"/>
    </row>
    <row r="34" customFormat="false" ht="15" hidden="false" customHeight="false" outlineLevel="0" collapsed="false">
      <c r="A34" s="19" t="n">
        <v>30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9" t="str">
        <f aca="false">IF(F34="","",IF(P34="","Pending",IF(UPPER(TRIM(F34))=UPPER(TRIM(P34)),"OK","MISMATCH")))</f>
        <v/>
      </c>
      <c r="U34" s="19" t="str">
        <f aca="false">IF(F34="","",IF(H34&lt;&gt;"Yes","N/A",IF(Q34="","Pending",IF(UPPER(TRIM(G34))=UPPER(TRIM(Q34)),"OK","MISMATCH"))))</f>
        <v/>
      </c>
      <c r="V34" s="19" t="str">
        <f aca="false">IF(F34="","",IF(L34="Yes","Blocked: hold",IF(AND(T34="OK",OR(U34="OK",U34="N/A"),R34="Yes",S34="Yes"),"Ready","Not ready")))</f>
        <v/>
      </c>
      <c r="W34" s="17"/>
      <c r="X34" s="17"/>
      <c r="Y34" s="17"/>
      <c r="Z34" s="17"/>
      <c r="AA34" s="17"/>
      <c r="AB34" s="17"/>
    </row>
    <row r="35" customFormat="false" ht="15" hidden="false" customHeight="false" outlineLevel="0" collapsed="false">
      <c r="A35" s="19" t="n">
        <v>31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9" t="str">
        <f aca="false">IF(F35="","",IF(P35="","Pending",IF(UPPER(TRIM(F35))=UPPER(TRIM(P35)),"OK","MISMATCH")))</f>
        <v/>
      </c>
      <c r="U35" s="19" t="str">
        <f aca="false">IF(F35="","",IF(H35&lt;&gt;"Yes","N/A",IF(Q35="","Pending",IF(UPPER(TRIM(G35))=UPPER(TRIM(Q35)),"OK","MISMATCH"))))</f>
        <v/>
      </c>
      <c r="V35" s="19" t="str">
        <f aca="false">IF(F35="","",IF(L35="Yes","Blocked: hold",IF(AND(T35="OK",OR(U35="OK",U35="N/A"),R35="Yes",S35="Yes"),"Ready","Not ready")))</f>
        <v/>
      </c>
      <c r="W35" s="17"/>
      <c r="X35" s="17"/>
      <c r="Y35" s="17"/>
      <c r="Z35" s="17"/>
      <c r="AA35" s="17"/>
      <c r="AB35" s="17"/>
    </row>
    <row r="36" customFormat="false" ht="15" hidden="false" customHeight="false" outlineLevel="0" collapsed="false">
      <c r="A36" s="19" t="n">
        <v>32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9" t="str">
        <f aca="false">IF(F36="","",IF(P36="","Pending",IF(UPPER(TRIM(F36))=UPPER(TRIM(P36)),"OK","MISMATCH")))</f>
        <v/>
      </c>
      <c r="U36" s="19" t="str">
        <f aca="false">IF(F36="","",IF(H36&lt;&gt;"Yes","N/A",IF(Q36="","Pending",IF(UPPER(TRIM(G36))=UPPER(TRIM(Q36)),"OK","MISMATCH"))))</f>
        <v/>
      </c>
      <c r="V36" s="19" t="str">
        <f aca="false">IF(F36="","",IF(L36="Yes","Blocked: hold",IF(AND(T36="OK",OR(U36="OK",U36="N/A"),R36="Yes",S36="Yes"),"Ready","Not ready")))</f>
        <v/>
      </c>
      <c r="W36" s="17"/>
      <c r="X36" s="17"/>
      <c r="Y36" s="17"/>
      <c r="Z36" s="17"/>
      <c r="AA36" s="17"/>
      <c r="AB36" s="17"/>
    </row>
    <row r="37" customFormat="false" ht="15" hidden="false" customHeight="false" outlineLevel="0" collapsed="false">
      <c r="A37" s="19" t="n">
        <v>33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9" t="str">
        <f aca="false">IF(F37="","",IF(P37="","Pending",IF(UPPER(TRIM(F37))=UPPER(TRIM(P37)),"OK","MISMATCH")))</f>
        <v/>
      </c>
      <c r="U37" s="19" t="str">
        <f aca="false">IF(F37="","",IF(H37&lt;&gt;"Yes","N/A",IF(Q37="","Pending",IF(UPPER(TRIM(G37))=UPPER(TRIM(Q37)),"OK","MISMATCH"))))</f>
        <v/>
      </c>
      <c r="V37" s="19" t="str">
        <f aca="false">IF(F37="","",IF(L37="Yes","Blocked: hold",IF(AND(T37="OK",OR(U37="OK",U37="N/A"),R37="Yes",S37="Yes"),"Ready","Not ready")))</f>
        <v/>
      </c>
      <c r="W37" s="17"/>
      <c r="X37" s="17"/>
      <c r="Y37" s="17"/>
      <c r="Z37" s="17"/>
      <c r="AA37" s="17"/>
      <c r="AB37" s="17"/>
    </row>
    <row r="38" customFormat="false" ht="15" hidden="false" customHeight="false" outlineLevel="0" collapsed="false">
      <c r="A38" s="19" t="n">
        <v>34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9" t="str">
        <f aca="false">IF(F38="","",IF(P38="","Pending",IF(UPPER(TRIM(F38))=UPPER(TRIM(P38)),"OK","MISMATCH")))</f>
        <v/>
      </c>
      <c r="U38" s="19" t="str">
        <f aca="false">IF(F38="","",IF(H38&lt;&gt;"Yes","N/A",IF(Q38="","Pending",IF(UPPER(TRIM(G38))=UPPER(TRIM(Q38)),"OK","MISMATCH"))))</f>
        <v/>
      </c>
      <c r="V38" s="19" t="str">
        <f aca="false">IF(F38="","",IF(L38="Yes","Blocked: hold",IF(AND(T38="OK",OR(U38="OK",U38="N/A"),R38="Yes",S38="Yes"),"Ready","Not ready")))</f>
        <v/>
      </c>
      <c r="W38" s="17"/>
      <c r="X38" s="17"/>
      <c r="Y38" s="17"/>
      <c r="Z38" s="17"/>
      <c r="AA38" s="17"/>
      <c r="AB38" s="17"/>
    </row>
    <row r="39" customFormat="false" ht="15" hidden="false" customHeight="false" outlineLevel="0" collapsed="false">
      <c r="A39" s="19" t="n">
        <v>35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9" t="str">
        <f aca="false">IF(F39="","",IF(P39="","Pending",IF(UPPER(TRIM(F39))=UPPER(TRIM(P39)),"OK","MISMATCH")))</f>
        <v/>
      </c>
      <c r="U39" s="19" t="str">
        <f aca="false">IF(F39="","",IF(H39&lt;&gt;"Yes","N/A",IF(Q39="","Pending",IF(UPPER(TRIM(G39))=UPPER(TRIM(Q39)),"OK","MISMATCH"))))</f>
        <v/>
      </c>
      <c r="V39" s="19" t="str">
        <f aca="false">IF(F39="","",IF(L39="Yes","Blocked: hold",IF(AND(T39="OK",OR(U39="OK",U39="N/A"),R39="Yes",S39="Yes"),"Ready","Not ready")))</f>
        <v/>
      </c>
      <c r="W39" s="17"/>
      <c r="X39" s="17"/>
      <c r="Y39" s="17"/>
      <c r="Z39" s="17"/>
      <c r="AA39" s="17"/>
      <c r="AB39" s="17"/>
    </row>
    <row r="40" customFormat="false" ht="15" hidden="false" customHeight="false" outlineLevel="0" collapsed="false">
      <c r="A40" s="19" t="n">
        <v>36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9" t="str">
        <f aca="false">IF(F40="","",IF(P40="","Pending",IF(UPPER(TRIM(F40))=UPPER(TRIM(P40)),"OK","MISMATCH")))</f>
        <v/>
      </c>
      <c r="U40" s="19" t="str">
        <f aca="false">IF(F40="","",IF(H40&lt;&gt;"Yes","N/A",IF(Q40="","Pending",IF(UPPER(TRIM(G40))=UPPER(TRIM(Q40)),"OK","MISMATCH"))))</f>
        <v/>
      </c>
      <c r="V40" s="19" t="str">
        <f aca="false">IF(F40="","",IF(L40="Yes","Blocked: hold",IF(AND(T40="OK",OR(U40="OK",U40="N/A"),R40="Yes",S40="Yes"),"Ready","Not ready")))</f>
        <v/>
      </c>
      <c r="W40" s="17"/>
      <c r="X40" s="17"/>
      <c r="Y40" s="17"/>
      <c r="Z40" s="17"/>
      <c r="AA40" s="17"/>
      <c r="AB40" s="17"/>
    </row>
    <row r="41" customFormat="false" ht="15" hidden="false" customHeight="false" outlineLevel="0" collapsed="false">
      <c r="A41" s="19" t="n">
        <v>37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9" t="str">
        <f aca="false">IF(F41="","",IF(P41="","Pending",IF(UPPER(TRIM(F41))=UPPER(TRIM(P41)),"OK","MISMATCH")))</f>
        <v/>
      </c>
      <c r="U41" s="19" t="str">
        <f aca="false">IF(F41="","",IF(H41&lt;&gt;"Yes","N/A",IF(Q41="","Pending",IF(UPPER(TRIM(G41))=UPPER(TRIM(Q41)),"OK","MISMATCH"))))</f>
        <v/>
      </c>
      <c r="V41" s="19" t="str">
        <f aca="false">IF(F41="","",IF(L41="Yes","Blocked: hold",IF(AND(T41="OK",OR(U41="OK",U41="N/A"),R41="Yes",S41="Yes"),"Ready","Not ready")))</f>
        <v/>
      </c>
      <c r="W41" s="17"/>
      <c r="X41" s="17"/>
      <c r="Y41" s="17"/>
      <c r="Z41" s="17"/>
      <c r="AA41" s="17"/>
      <c r="AB41" s="17"/>
    </row>
    <row r="42" customFormat="false" ht="15" hidden="false" customHeight="false" outlineLevel="0" collapsed="false">
      <c r="A42" s="19" t="n">
        <v>38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9" t="str">
        <f aca="false">IF(F42="","",IF(P42="","Pending",IF(UPPER(TRIM(F42))=UPPER(TRIM(P42)),"OK","MISMATCH")))</f>
        <v/>
      </c>
      <c r="U42" s="19" t="str">
        <f aca="false">IF(F42="","",IF(H42&lt;&gt;"Yes","N/A",IF(Q42="","Pending",IF(UPPER(TRIM(G42))=UPPER(TRIM(Q42)),"OK","MISMATCH"))))</f>
        <v/>
      </c>
      <c r="V42" s="19" t="str">
        <f aca="false">IF(F42="","",IF(L42="Yes","Blocked: hold",IF(AND(T42="OK",OR(U42="OK",U42="N/A"),R42="Yes",S42="Yes"),"Ready","Not ready")))</f>
        <v/>
      </c>
      <c r="W42" s="17"/>
      <c r="X42" s="17"/>
      <c r="Y42" s="17"/>
      <c r="Z42" s="17"/>
      <c r="AA42" s="17"/>
      <c r="AB42" s="17"/>
    </row>
    <row r="43" customFormat="false" ht="15" hidden="false" customHeight="false" outlineLevel="0" collapsed="false">
      <c r="A43" s="19" t="n">
        <v>39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9" t="str">
        <f aca="false">IF(F43="","",IF(P43="","Pending",IF(UPPER(TRIM(F43))=UPPER(TRIM(P43)),"OK","MISMATCH")))</f>
        <v/>
      </c>
      <c r="U43" s="19" t="str">
        <f aca="false">IF(F43="","",IF(H43&lt;&gt;"Yes","N/A",IF(Q43="","Pending",IF(UPPER(TRIM(G43))=UPPER(TRIM(Q43)),"OK","MISMATCH"))))</f>
        <v/>
      </c>
      <c r="V43" s="19" t="str">
        <f aca="false">IF(F43="","",IF(L43="Yes","Blocked: hold",IF(AND(T43="OK",OR(U43="OK",U43="N/A"),R43="Yes",S43="Yes"),"Ready","Not ready")))</f>
        <v/>
      </c>
      <c r="W43" s="17"/>
      <c r="X43" s="17"/>
      <c r="Y43" s="17"/>
      <c r="Z43" s="17"/>
      <c r="AA43" s="17"/>
      <c r="AB43" s="17"/>
    </row>
    <row r="44" customFormat="false" ht="15" hidden="false" customHeight="false" outlineLevel="0" collapsed="false">
      <c r="A44" s="19" t="n">
        <v>40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9" t="str">
        <f aca="false">IF(F44="","",IF(P44="","Pending",IF(UPPER(TRIM(F44))=UPPER(TRIM(P44)),"OK","MISMATCH")))</f>
        <v/>
      </c>
      <c r="U44" s="19" t="str">
        <f aca="false">IF(F44="","",IF(H44&lt;&gt;"Yes","N/A",IF(Q44="","Pending",IF(UPPER(TRIM(G44))=UPPER(TRIM(Q44)),"OK","MISMATCH"))))</f>
        <v/>
      </c>
      <c r="V44" s="19" t="str">
        <f aca="false">IF(F44="","",IF(L44="Yes","Blocked: hold",IF(AND(T44="OK",OR(U44="OK",U44="N/A"),R44="Yes",S44="Yes"),"Ready","Not ready")))</f>
        <v/>
      </c>
      <c r="W44" s="17"/>
      <c r="X44" s="17"/>
      <c r="Y44" s="17"/>
      <c r="Z44" s="17"/>
      <c r="AA44" s="17"/>
      <c r="AB44" s="17"/>
    </row>
    <row r="45" customFormat="false" ht="15" hidden="false" customHeight="false" outlineLevel="0" collapsed="false">
      <c r="A45" s="19" t="n">
        <v>41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9" t="str">
        <f aca="false">IF(F45="","",IF(P45="","Pending",IF(UPPER(TRIM(F45))=UPPER(TRIM(P45)),"OK","MISMATCH")))</f>
        <v/>
      </c>
      <c r="U45" s="19" t="str">
        <f aca="false">IF(F45="","",IF(H45&lt;&gt;"Yes","N/A",IF(Q45="","Pending",IF(UPPER(TRIM(G45))=UPPER(TRIM(Q45)),"OK","MISMATCH"))))</f>
        <v/>
      </c>
      <c r="V45" s="19" t="str">
        <f aca="false">IF(F45="","",IF(L45="Yes","Blocked: hold",IF(AND(T45="OK",OR(U45="OK",U45="N/A"),R45="Yes",S45="Yes"),"Ready","Not ready")))</f>
        <v/>
      </c>
      <c r="W45" s="17"/>
      <c r="X45" s="17"/>
      <c r="Y45" s="17"/>
      <c r="Z45" s="17"/>
      <c r="AA45" s="17"/>
      <c r="AB45" s="17"/>
    </row>
    <row r="46" customFormat="false" ht="15" hidden="false" customHeight="false" outlineLevel="0" collapsed="false">
      <c r="A46" s="19" t="n">
        <v>42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9" t="str">
        <f aca="false">IF(F46="","",IF(P46="","Pending",IF(UPPER(TRIM(F46))=UPPER(TRIM(P46)),"OK","MISMATCH")))</f>
        <v/>
      </c>
      <c r="U46" s="19" t="str">
        <f aca="false">IF(F46="","",IF(H46&lt;&gt;"Yes","N/A",IF(Q46="","Pending",IF(UPPER(TRIM(G46))=UPPER(TRIM(Q46)),"OK","MISMATCH"))))</f>
        <v/>
      </c>
      <c r="V46" s="19" t="str">
        <f aca="false">IF(F46="","",IF(L46="Yes","Blocked: hold",IF(AND(T46="OK",OR(U46="OK",U46="N/A"),R46="Yes",S46="Yes"),"Ready","Not ready")))</f>
        <v/>
      </c>
      <c r="W46" s="17"/>
      <c r="X46" s="17"/>
      <c r="Y46" s="17"/>
      <c r="Z46" s="17"/>
      <c r="AA46" s="17"/>
      <c r="AB46" s="17"/>
    </row>
    <row r="47" customFormat="false" ht="15" hidden="false" customHeight="false" outlineLevel="0" collapsed="false">
      <c r="A47" s="19" t="n">
        <v>43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9" t="str">
        <f aca="false">IF(F47="","",IF(P47="","Pending",IF(UPPER(TRIM(F47))=UPPER(TRIM(P47)),"OK","MISMATCH")))</f>
        <v/>
      </c>
      <c r="U47" s="19" t="str">
        <f aca="false">IF(F47="","",IF(H47&lt;&gt;"Yes","N/A",IF(Q47="","Pending",IF(UPPER(TRIM(G47))=UPPER(TRIM(Q47)),"OK","MISMATCH"))))</f>
        <v/>
      </c>
      <c r="V47" s="19" t="str">
        <f aca="false">IF(F47="","",IF(L47="Yes","Blocked: hold",IF(AND(T47="OK",OR(U47="OK",U47="N/A"),R47="Yes",S47="Yes"),"Ready","Not ready")))</f>
        <v/>
      </c>
      <c r="W47" s="17"/>
      <c r="X47" s="17"/>
      <c r="Y47" s="17"/>
      <c r="Z47" s="17"/>
      <c r="AA47" s="17"/>
      <c r="AB47" s="17"/>
    </row>
    <row r="48" customFormat="false" ht="15" hidden="false" customHeight="false" outlineLevel="0" collapsed="false">
      <c r="A48" s="19" t="n">
        <v>44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9" t="str">
        <f aca="false">IF(F48="","",IF(P48="","Pending",IF(UPPER(TRIM(F48))=UPPER(TRIM(P48)),"OK","MISMATCH")))</f>
        <v/>
      </c>
      <c r="U48" s="19" t="str">
        <f aca="false">IF(F48="","",IF(H48&lt;&gt;"Yes","N/A",IF(Q48="","Pending",IF(UPPER(TRIM(G48))=UPPER(TRIM(Q48)),"OK","MISMATCH"))))</f>
        <v/>
      </c>
      <c r="V48" s="19" t="str">
        <f aca="false">IF(F48="","",IF(L48="Yes","Blocked: hold",IF(AND(T48="OK",OR(U48="OK",U48="N/A"),R48="Yes",S48="Yes"),"Ready","Not ready")))</f>
        <v/>
      </c>
      <c r="W48" s="17"/>
      <c r="X48" s="17"/>
      <c r="Y48" s="17"/>
      <c r="Z48" s="17"/>
      <c r="AA48" s="17"/>
      <c r="AB48" s="17"/>
    </row>
    <row r="49" customFormat="false" ht="15" hidden="false" customHeight="false" outlineLevel="0" collapsed="false">
      <c r="A49" s="19" t="n">
        <v>45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9" t="str">
        <f aca="false">IF(F49="","",IF(P49="","Pending",IF(UPPER(TRIM(F49))=UPPER(TRIM(P49)),"OK","MISMATCH")))</f>
        <v/>
      </c>
      <c r="U49" s="19" t="str">
        <f aca="false">IF(F49="","",IF(H49&lt;&gt;"Yes","N/A",IF(Q49="","Pending",IF(UPPER(TRIM(G49))=UPPER(TRIM(Q49)),"OK","MISMATCH"))))</f>
        <v/>
      </c>
      <c r="V49" s="19" t="str">
        <f aca="false">IF(F49="","",IF(L49="Yes","Blocked: hold",IF(AND(T49="OK",OR(U49="OK",U49="N/A"),R49="Yes",S49="Yes"),"Ready","Not ready")))</f>
        <v/>
      </c>
      <c r="W49" s="17"/>
      <c r="X49" s="17"/>
      <c r="Y49" s="17"/>
      <c r="Z49" s="17"/>
      <c r="AA49" s="17"/>
      <c r="AB49" s="17"/>
    </row>
    <row r="50" customFormat="false" ht="15" hidden="false" customHeight="false" outlineLevel="0" collapsed="false">
      <c r="A50" s="19" t="n">
        <v>46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9" t="str">
        <f aca="false">IF(F50="","",IF(P50="","Pending",IF(UPPER(TRIM(F50))=UPPER(TRIM(P50)),"OK","MISMATCH")))</f>
        <v/>
      </c>
      <c r="U50" s="19" t="str">
        <f aca="false">IF(F50="","",IF(H50&lt;&gt;"Yes","N/A",IF(Q50="","Pending",IF(UPPER(TRIM(G50))=UPPER(TRIM(Q50)),"OK","MISMATCH"))))</f>
        <v/>
      </c>
      <c r="V50" s="19" t="str">
        <f aca="false">IF(F50="","",IF(L50="Yes","Blocked: hold",IF(AND(T50="OK",OR(U50="OK",U50="N/A"),R50="Yes",S50="Yes"),"Ready","Not ready")))</f>
        <v/>
      </c>
      <c r="W50" s="17"/>
      <c r="X50" s="17"/>
      <c r="Y50" s="17"/>
      <c r="Z50" s="17"/>
      <c r="AA50" s="17"/>
      <c r="AB50" s="17"/>
    </row>
    <row r="51" customFormat="false" ht="15" hidden="false" customHeight="false" outlineLevel="0" collapsed="false">
      <c r="A51" s="19" t="n">
        <v>47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9" t="str">
        <f aca="false">IF(F51="","",IF(P51="","Pending",IF(UPPER(TRIM(F51))=UPPER(TRIM(P51)),"OK","MISMATCH")))</f>
        <v/>
      </c>
      <c r="U51" s="19" t="str">
        <f aca="false">IF(F51="","",IF(H51&lt;&gt;"Yes","N/A",IF(Q51="","Pending",IF(UPPER(TRIM(G51))=UPPER(TRIM(Q51)),"OK","MISMATCH"))))</f>
        <v/>
      </c>
      <c r="V51" s="19" t="str">
        <f aca="false">IF(F51="","",IF(L51="Yes","Blocked: hold",IF(AND(T51="OK",OR(U51="OK",U51="N/A"),R51="Yes",S51="Yes"),"Ready","Not ready")))</f>
        <v/>
      </c>
      <c r="W51" s="17"/>
      <c r="X51" s="17"/>
      <c r="Y51" s="17"/>
      <c r="Z51" s="17"/>
      <c r="AA51" s="17"/>
      <c r="AB51" s="17"/>
    </row>
    <row r="52" customFormat="false" ht="15" hidden="false" customHeight="false" outlineLevel="0" collapsed="false">
      <c r="A52" s="19" t="n">
        <v>48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9" t="str">
        <f aca="false">IF(F52="","",IF(P52="","Pending",IF(UPPER(TRIM(F52))=UPPER(TRIM(P52)),"OK","MISMATCH")))</f>
        <v/>
      </c>
      <c r="U52" s="19" t="str">
        <f aca="false">IF(F52="","",IF(H52&lt;&gt;"Yes","N/A",IF(Q52="","Pending",IF(UPPER(TRIM(G52))=UPPER(TRIM(Q52)),"OK","MISMATCH"))))</f>
        <v/>
      </c>
      <c r="V52" s="19" t="str">
        <f aca="false">IF(F52="","",IF(L52="Yes","Blocked: hold",IF(AND(T52="OK",OR(U52="OK",U52="N/A"),R52="Yes",S52="Yes"),"Ready","Not ready")))</f>
        <v/>
      </c>
      <c r="W52" s="17"/>
      <c r="X52" s="17"/>
      <c r="Y52" s="17"/>
      <c r="Z52" s="17"/>
      <c r="AA52" s="17"/>
      <c r="AB52" s="17"/>
    </row>
    <row r="53" customFormat="false" ht="15" hidden="false" customHeight="false" outlineLevel="0" collapsed="false">
      <c r="A53" s="19" t="n">
        <v>49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9" t="str">
        <f aca="false">IF(F53="","",IF(P53="","Pending",IF(UPPER(TRIM(F53))=UPPER(TRIM(P53)),"OK","MISMATCH")))</f>
        <v/>
      </c>
      <c r="U53" s="19" t="str">
        <f aca="false">IF(F53="","",IF(H53&lt;&gt;"Yes","N/A",IF(Q53="","Pending",IF(UPPER(TRIM(G53))=UPPER(TRIM(Q53)),"OK","MISMATCH"))))</f>
        <v/>
      </c>
      <c r="V53" s="19" t="str">
        <f aca="false">IF(F53="","",IF(L53="Yes","Blocked: hold",IF(AND(T53="OK",OR(U53="OK",U53="N/A"),R53="Yes",S53="Yes"),"Ready","Not ready")))</f>
        <v/>
      </c>
      <c r="W53" s="17"/>
      <c r="X53" s="17"/>
      <c r="Y53" s="17"/>
      <c r="Z53" s="17"/>
      <c r="AA53" s="17"/>
      <c r="AB53" s="17"/>
    </row>
    <row r="54" customFormat="false" ht="15" hidden="false" customHeight="false" outlineLevel="0" collapsed="false">
      <c r="A54" s="19" t="n">
        <v>50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9" t="str">
        <f aca="false">IF(F54="","",IF(P54="","Pending",IF(UPPER(TRIM(F54))=UPPER(TRIM(P54)),"OK","MISMATCH")))</f>
        <v/>
      </c>
      <c r="U54" s="19" t="str">
        <f aca="false">IF(F54="","",IF(H54&lt;&gt;"Yes","N/A",IF(Q54="","Pending",IF(UPPER(TRIM(G54))=UPPER(TRIM(Q54)),"OK","MISMATCH"))))</f>
        <v/>
      </c>
      <c r="V54" s="19" t="str">
        <f aca="false">IF(F54="","",IF(L54="Yes","Blocked: hold",IF(AND(T54="OK",OR(U54="OK",U54="N/A"),R54="Yes",S54="Yes"),"Ready","Not ready")))</f>
        <v/>
      </c>
      <c r="W54" s="17"/>
      <c r="X54" s="17"/>
      <c r="Y54" s="17"/>
      <c r="Z54" s="17"/>
      <c r="AA54" s="17"/>
      <c r="AB54" s="17"/>
    </row>
    <row r="55" customFormat="false" ht="15" hidden="false" customHeight="false" outlineLevel="0" collapsed="false">
      <c r="A55" s="19" t="n">
        <v>51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9" t="str">
        <f aca="false">IF(F55="","",IF(P55="","Pending",IF(UPPER(TRIM(F55))=UPPER(TRIM(P55)),"OK","MISMATCH")))</f>
        <v/>
      </c>
      <c r="U55" s="19" t="str">
        <f aca="false">IF(F55="","",IF(H55&lt;&gt;"Yes","N/A",IF(Q55="","Pending",IF(UPPER(TRIM(G55))=UPPER(TRIM(Q55)),"OK","MISMATCH"))))</f>
        <v/>
      </c>
      <c r="V55" s="19" t="str">
        <f aca="false">IF(F55="","",IF(L55="Yes","Blocked: hold",IF(AND(T55="OK",OR(U55="OK",U55="N/A"),R55="Yes",S55="Yes"),"Ready","Not ready")))</f>
        <v/>
      </c>
      <c r="W55" s="17"/>
      <c r="X55" s="17"/>
      <c r="Y55" s="17"/>
      <c r="Z55" s="17"/>
      <c r="AA55" s="17"/>
      <c r="AB55" s="17"/>
    </row>
    <row r="56" customFormat="false" ht="15" hidden="false" customHeight="false" outlineLevel="0" collapsed="false">
      <c r="A56" s="19" t="n">
        <v>52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9" t="str">
        <f aca="false">IF(F56="","",IF(P56="","Pending",IF(UPPER(TRIM(F56))=UPPER(TRIM(P56)),"OK","MISMATCH")))</f>
        <v/>
      </c>
      <c r="U56" s="19" t="str">
        <f aca="false">IF(F56="","",IF(H56&lt;&gt;"Yes","N/A",IF(Q56="","Pending",IF(UPPER(TRIM(G56))=UPPER(TRIM(Q56)),"OK","MISMATCH"))))</f>
        <v/>
      </c>
      <c r="V56" s="19" t="str">
        <f aca="false">IF(F56="","",IF(L56="Yes","Blocked: hold",IF(AND(T56="OK",OR(U56="OK",U56="N/A"),R56="Yes",S56="Yes"),"Ready","Not ready")))</f>
        <v/>
      </c>
      <c r="W56" s="17"/>
      <c r="X56" s="17"/>
      <c r="Y56" s="17"/>
      <c r="Z56" s="17"/>
      <c r="AA56" s="17"/>
      <c r="AB56" s="17"/>
    </row>
    <row r="57" customFormat="false" ht="15" hidden="false" customHeight="false" outlineLevel="0" collapsed="false">
      <c r="A57" s="19" t="n">
        <v>53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9" t="str">
        <f aca="false">IF(F57="","",IF(P57="","Pending",IF(UPPER(TRIM(F57))=UPPER(TRIM(P57)),"OK","MISMATCH")))</f>
        <v/>
      </c>
      <c r="U57" s="19" t="str">
        <f aca="false">IF(F57="","",IF(H57&lt;&gt;"Yes","N/A",IF(Q57="","Pending",IF(UPPER(TRIM(G57))=UPPER(TRIM(Q57)),"OK","MISMATCH"))))</f>
        <v/>
      </c>
      <c r="V57" s="19" t="str">
        <f aca="false">IF(F57="","",IF(L57="Yes","Blocked: hold",IF(AND(T57="OK",OR(U57="OK",U57="N/A"),R57="Yes",S57="Yes"),"Ready","Not ready")))</f>
        <v/>
      </c>
      <c r="W57" s="17"/>
      <c r="X57" s="17"/>
      <c r="Y57" s="17"/>
      <c r="Z57" s="17"/>
      <c r="AA57" s="17"/>
      <c r="AB57" s="17"/>
    </row>
    <row r="58" customFormat="false" ht="15" hidden="false" customHeight="false" outlineLevel="0" collapsed="false">
      <c r="A58" s="19" t="n">
        <v>54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9" t="str">
        <f aca="false">IF(F58="","",IF(P58="","Pending",IF(UPPER(TRIM(F58))=UPPER(TRIM(P58)),"OK","MISMATCH")))</f>
        <v/>
      </c>
      <c r="U58" s="19" t="str">
        <f aca="false">IF(F58="","",IF(H58&lt;&gt;"Yes","N/A",IF(Q58="","Pending",IF(UPPER(TRIM(G58))=UPPER(TRIM(Q58)),"OK","MISMATCH"))))</f>
        <v/>
      </c>
      <c r="V58" s="19" t="str">
        <f aca="false">IF(F58="","",IF(L58="Yes","Blocked: hold",IF(AND(T58="OK",OR(U58="OK",U58="N/A"),R58="Yes",S58="Yes"),"Ready","Not ready")))</f>
        <v/>
      </c>
      <c r="W58" s="17"/>
      <c r="X58" s="17"/>
      <c r="Y58" s="17"/>
      <c r="Z58" s="17"/>
      <c r="AA58" s="17"/>
      <c r="AB58" s="17"/>
    </row>
    <row r="59" customFormat="false" ht="15" hidden="false" customHeight="false" outlineLevel="0" collapsed="false">
      <c r="A59" s="19" t="n">
        <v>55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9" t="str">
        <f aca="false">IF(F59="","",IF(P59="","Pending",IF(UPPER(TRIM(F59))=UPPER(TRIM(P59)),"OK","MISMATCH")))</f>
        <v/>
      </c>
      <c r="U59" s="19" t="str">
        <f aca="false">IF(F59="","",IF(H59&lt;&gt;"Yes","N/A",IF(Q59="","Pending",IF(UPPER(TRIM(G59))=UPPER(TRIM(Q59)),"OK","MISMATCH"))))</f>
        <v/>
      </c>
      <c r="V59" s="19" t="str">
        <f aca="false">IF(F59="","",IF(L59="Yes","Blocked: hold",IF(AND(T59="OK",OR(U59="OK",U59="N/A"),R59="Yes",S59="Yes"),"Ready","Not ready")))</f>
        <v/>
      </c>
      <c r="W59" s="17"/>
      <c r="X59" s="17"/>
      <c r="Y59" s="17"/>
      <c r="Z59" s="17"/>
      <c r="AA59" s="17"/>
      <c r="AB59" s="17"/>
    </row>
    <row r="60" customFormat="false" ht="15" hidden="false" customHeight="false" outlineLevel="0" collapsed="false">
      <c r="A60" s="19" t="n">
        <v>56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9" t="str">
        <f aca="false">IF(F60="","",IF(P60="","Pending",IF(UPPER(TRIM(F60))=UPPER(TRIM(P60)),"OK","MISMATCH")))</f>
        <v/>
      </c>
      <c r="U60" s="19" t="str">
        <f aca="false">IF(F60="","",IF(H60&lt;&gt;"Yes","N/A",IF(Q60="","Pending",IF(UPPER(TRIM(G60))=UPPER(TRIM(Q60)),"OK","MISMATCH"))))</f>
        <v/>
      </c>
      <c r="V60" s="19" t="str">
        <f aca="false">IF(F60="","",IF(L60="Yes","Blocked: hold",IF(AND(T60="OK",OR(U60="OK",U60="N/A"),R60="Yes",S60="Yes"),"Ready","Not ready")))</f>
        <v/>
      </c>
      <c r="W60" s="17"/>
      <c r="X60" s="17"/>
      <c r="Y60" s="17"/>
      <c r="Z60" s="17"/>
      <c r="AA60" s="17"/>
      <c r="AB60" s="17"/>
    </row>
    <row r="61" customFormat="false" ht="15" hidden="false" customHeight="false" outlineLevel="0" collapsed="false">
      <c r="A61" s="19" t="n">
        <v>57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9" t="str">
        <f aca="false">IF(F61="","",IF(P61="","Pending",IF(UPPER(TRIM(F61))=UPPER(TRIM(P61)),"OK","MISMATCH")))</f>
        <v/>
      </c>
      <c r="U61" s="19" t="str">
        <f aca="false">IF(F61="","",IF(H61&lt;&gt;"Yes","N/A",IF(Q61="","Pending",IF(UPPER(TRIM(G61))=UPPER(TRIM(Q61)),"OK","MISMATCH"))))</f>
        <v/>
      </c>
      <c r="V61" s="19" t="str">
        <f aca="false">IF(F61="","",IF(L61="Yes","Blocked: hold",IF(AND(T61="OK",OR(U61="OK",U61="N/A"),R61="Yes",S61="Yes"),"Ready","Not ready")))</f>
        <v/>
      </c>
      <c r="W61" s="17"/>
      <c r="X61" s="17"/>
      <c r="Y61" s="17"/>
      <c r="Z61" s="17"/>
      <c r="AA61" s="17"/>
      <c r="AB61" s="17"/>
    </row>
    <row r="62" customFormat="false" ht="15" hidden="false" customHeight="false" outlineLevel="0" collapsed="false">
      <c r="A62" s="19" t="n">
        <v>58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9" t="str">
        <f aca="false">IF(F62="","",IF(P62="","Pending",IF(UPPER(TRIM(F62))=UPPER(TRIM(P62)),"OK","MISMATCH")))</f>
        <v/>
      </c>
      <c r="U62" s="19" t="str">
        <f aca="false">IF(F62="","",IF(H62&lt;&gt;"Yes","N/A",IF(Q62="","Pending",IF(UPPER(TRIM(G62))=UPPER(TRIM(Q62)),"OK","MISMATCH"))))</f>
        <v/>
      </c>
      <c r="V62" s="19" t="str">
        <f aca="false">IF(F62="","",IF(L62="Yes","Blocked: hold",IF(AND(T62="OK",OR(U62="OK",U62="N/A"),R62="Yes",S62="Yes"),"Ready","Not ready")))</f>
        <v/>
      </c>
      <c r="W62" s="17"/>
      <c r="X62" s="17"/>
      <c r="Y62" s="17"/>
      <c r="Z62" s="17"/>
      <c r="AA62" s="17"/>
      <c r="AB62" s="17"/>
    </row>
    <row r="63" customFormat="false" ht="15" hidden="false" customHeight="false" outlineLevel="0" collapsed="false">
      <c r="A63" s="19" t="n">
        <v>59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9" t="str">
        <f aca="false">IF(F63="","",IF(P63="","Pending",IF(UPPER(TRIM(F63))=UPPER(TRIM(P63)),"OK","MISMATCH")))</f>
        <v/>
      </c>
      <c r="U63" s="19" t="str">
        <f aca="false">IF(F63="","",IF(H63&lt;&gt;"Yes","N/A",IF(Q63="","Pending",IF(UPPER(TRIM(G63))=UPPER(TRIM(Q63)),"OK","MISMATCH"))))</f>
        <v/>
      </c>
      <c r="V63" s="19" t="str">
        <f aca="false">IF(F63="","",IF(L63="Yes","Blocked: hold",IF(AND(T63="OK",OR(U63="OK",U63="N/A"),R63="Yes",S63="Yes"),"Ready","Not ready")))</f>
        <v/>
      </c>
      <c r="W63" s="17"/>
      <c r="X63" s="17"/>
      <c r="Y63" s="17"/>
      <c r="Z63" s="17"/>
      <c r="AA63" s="17"/>
      <c r="AB63" s="17"/>
    </row>
    <row r="64" customFormat="false" ht="15" hidden="false" customHeight="false" outlineLevel="0" collapsed="false">
      <c r="A64" s="19" t="n">
        <v>60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9" t="str">
        <f aca="false">IF(F64="","",IF(P64="","Pending",IF(UPPER(TRIM(F64))=UPPER(TRIM(P64)),"OK","MISMATCH")))</f>
        <v/>
      </c>
      <c r="U64" s="19" t="str">
        <f aca="false">IF(F64="","",IF(H64&lt;&gt;"Yes","N/A",IF(Q64="","Pending",IF(UPPER(TRIM(G64))=UPPER(TRIM(Q64)),"OK","MISMATCH"))))</f>
        <v/>
      </c>
      <c r="V64" s="19" t="str">
        <f aca="false">IF(F64="","",IF(L64="Yes","Blocked: hold",IF(AND(T64="OK",OR(U64="OK",U64="N/A"),R64="Yes",S64="Yes"),"Ready","Not ready")))</f>
        <v/>
      </c>
      <c r="W64" s="17"/>
      <c r="X64" s="17"/>
      <c r="Y64" s="17"/>
      <c r="Z64" s="17"/>
      <c r="AA64" s="17"/>
      <c r="AB64" s="17"/>
    </row>
    <row r="65" customFormat="false" ht="15" hidden="false" customHeight="false" outlineLevel="0" collapsed="false">
      <c r="A65" s="19" t="n">
        <v>61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9" t="str">
        <f aca="false">IF(F65="","",IF(P65="","Pending",IF(UPPER(TRIM(F65))=UPPER(TRIM(P65)),"OK","MISMATCH")))</f>
        <v/>
      </c>
      <c r="U65" s="19" t="str">
        <f aca="false">IF(F65="","",IF(H65&lt;&gt;"Yes","N/A",IF(Q65="","Pending",IF(UPPER(TRIM(G65))=UPPER(TRIM(Q65)),"OK","MISMATCH"))))</f>
        <v/>
      </c>
      <c r="V65" s="19" t="str">
        <f aca="false">IF(F65="","",IF(L65="Yes","Blocked: hold",IF(AND(T65="OK",OR(U65="OK",U65="N/A"),R65="Yes",S65="Yes"),"Ready","Not ready")))</f>
        <v/>
      </c>
      <c r="W65" s="17"/>
      <c r="X65" s="17"/>
      <c r="Y65" s="17"/>
      <c r="Z65" s="17"/>
      <c r="AA65" s="17"/>
      <c r="AB65" s="17"/>
    </row>
    <row r="66" customFormat="false" ht="15" hidden="false" customHeight="false" outlineLevel="0" collapsed="false">
      <c r="A66" s="19" t="n">
        <v>62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9" t="str">
        <f aca="false">IF(F66="","",IF(P66="","Pending",IF(UPPER(TRIM(F66))=UPPER(TRIM(P66)),"OK","MISMATCH")))</f>
        <v/>
      </c>
      <c r="U66" s="19" t="str">
        <f aca="false">IF(F66="","",IF(H66&lt;&gt;"Yes","N/A",IF(Q66="","Pending",IF(UPPER(TRIM(G66))=UPPER(TRIM(Q66)),"OK","MISMATCH"))))</f>
        <v/>
      </c>
      <c r="V66" s="19" t="str">
        <f aca="false">IF(F66="","",IF(L66="Yes","Blocked: hold",IF(AND(T66="OK",OR(U66="OK",U66="N/A"),R66="Yes",S66="Yes"),"Ready","Not ready")))</f>
        <v/>
      </c>
      <c r="W66" s="17"/>
      <c r="X66" s="17"/>
      <c r="Y66" s="17"/>
      <c r="Z66" s="17"/>
      <c r="AA66" s="17"/>
      <c r="AB66" s="17"/>
    </row>
    <row r="67" customFormat="false" ht="15" hidden="false" customHeight="false" outlineLevel="0" collapsed="false">
      <c r="A67" s="19" t="n">
        <v>63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9" t="str">
        <f aca="false">IF(F67="","",IF(P67="","Pending",IF(UPPER(TRIM(F67))=UPPER(TRIM(P67)),"OK","MISMATCH")))</f>
        <v/>
      </c>
      <c r="U67" s="19" t="str">
        <f aca="false">IF(F67="","",IF(H67&lt;&gt;"Yes","N/A",IF(Q67="","Pending",IF(UPPER(TRIM(G67))=UPPER(TRIM(Q67)),"OK","MISMATCH"))))</f>
        <v/>
      </c>
      <c r="V67" s="19" t="str">
        <f aca="false">IF(F67="","",IF(L67="Yes","Blocked: hold",IF(AND(T67="OK",OR(U67="OK",U67="N/A"),R67="Yes",S67="Yes"),"Ready","Not ready")))</f>
        <v/>
      </c>
      <c r="W67" s="17"/>
      <c r="X67" s="17"/>
      <c r="Y67" s="17"/>
      <c r="Z67" s="17"/>
      <c r="AA67" s="17"/>
      <c r="AB67" s="17"/>
    </row>
    <row r="68" customFormat="false" ht="15" hidden="false" customHeight="false" outlineLevel="0" collapsed="false">
      <c r="A68" s="19" t="n">
        <v>64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9" t="str">
        <f aca="false">IF(F68="","",IF(P68="","Pending",IF(UPPER(TRIM(F68))=UPPER(TRIM(P68)),"OK","MISMATCH")))</f>
        <v/>
      </c>
      <c r="U68" s="19" t="str">
        <f aca="false">IF(F68="","",IF(H68&lt;&gt;"Yes","N/A",IF(Q68="","Pending",IF(UPPER(TRIM(G68))=UPPER(TRIM(Q68)),"OK","MISMATCH"))))</f>
        <v/>
      </c>
      <c r="V68" s="19" t="str">
        <f aca="false">IF(F68="","",IF(L68="Yes","Blocked: hold",IF(AND(T68="OK",OR(U68="OK",U68="N/A"),R68="Yes",S68="Yes"),"Ready","Not ready")))</f>
        <v/>
      </c>
      <c r="W68" s="17"/>
      <c r="X68" s="17"/>
      <c r="Y68" s="17"/>
      <c r="Z68" s="17"/>
      <c r="AA68" s="17"/>
      <c r="AB68" s="17"/>
    </row>
    <row r="69" customFormat="false" ht="15" hidden="false" customHeight="false" outlineLevel="0" collapsed="false">
      <c r="A69" s="19" t="n">
        <v>65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9" t="str">
        <f aca="false">IF(F69="","",IF(P69="","Pending",IF(UPPER(TRIM(F69))=UPPER(TRIM(P69)),"OK","MISMATCH")))</f>
        <v/>
      </c>
      <c r="U69" s="19" t="str">
        <f aca="false">IF(F69="","",IF(H69&lt;&gt;"Yes","N/A",IF(Q69="","Pending",IF(UPPER(TRIM(G69))=UPPER(TRIM(Q69)),"OK","MISMATCH"))))</f>
        <v/>
      </c>
      <c r="V69" s="19" t="str">
        <f aca="false">IF(F69="","",IF(L69="Yes","Blocked: hold",IF(AND(T69="OK",OR(U69="OK",U69="N/A"),R69="Yes",S69="Yes"),"Ready","Not ready")))</f>
        <v/>
      </c>
      <c r="W69" s="17"/>
      <c r="X69" s="17"/>
      <c r="Y69" s="17"/>
      <c r="Z69" s="17"/>
      <c r="AA69" s="17"/>
      <c r="AB69" s="17"/>
    </row>
    <row r="70" customFormat="false" ht="15" hidden="false" customHeight="false" outlineLevel="0" collapsed="false">
      <c r="A70" s="19" t="n">
        <v>66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9" t="str">
        <f aca="false">IF(F70="","",IF(P70="","Pending",IF(UPPER(TRIM(F70))=UPPER(TRIM(P70)),"OK","MISMATCH")))</f>
        <v/>
      </c>
      <c r="U70" s="19" t="str">
        <f aca="false">IF(F70="","",IF(H70&lt;&gt;"Yes","N/A",IF(Q70="","Pending",IF(UPPER(TRIM(G70))=UPPER(TRIM(Q70)),"OK","MISMATCH"))))</f>
        <v/>
      </c>
      <c r="V70" s="19" t="str">
        <f aca="false">IF(F70="","",IF(L70="Yes","Blocked: hold",IF(AND(T70="OK",OR(U70="OK",U70="N/A"),R70="Yes",S70="Yes"),"Ready","Not ready")))</f>
        <v/>
      </c>
      <c r="W70" s="17"/>
      <c r="X70" s="17"/>
      <c r="Y70" s="17"/>
      <c r="Z70" s="17"/>
      <c r="AA70" s="17"/>
      <c r="AB70" s="17"/>
    </row>
    <row r="71" customFormat="false" ht="15" hidden="false" customHeight="false" outlineLevel="0" collapsed="false">
      <c r="A71" s="19" t="n">
        <v>67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9" t="str">
        <f aca="false">IF(F71="","",IF(P71="","Pending",IF(UPPER(TRIM(F71))=UPPER(TRIM(P71)),"OK","MISMATCH")))</f>
        <v/>
      </c>
      <c r="U71" s="19" t="str">
        <f aca="false">IF(F71="","",IF(H71&lt;&gt;"Yes","N/A",IF(Q71="","Pending",IF(UPPER(TRIM(G71))=UPPER(TRIM(Q71)),"OK","MISMATCH"))))</f>
        <v/>
      </c>
      <c r="V71" s="19" t="str">
        <f aca="false">IF(F71="","",IF(L71="Yes","Blocked: hold",IF(AND(T71="OK",OR(U71="OK",U71="N/A"),R71="Yes",S71="Yes"),"Ready","Not ready")))</f>
        <v/>
      </c>
      <c r="W71" s="17"/>
      <c r="X71" s="17"/>
      <c r="Y71" s="17"/>
      <c r="Z71" s="17"/>
      <c r="AA71" s="17"/>
      <c r="AB71" s="17"/>
    </row>
    <row r="72" customFormat="false" ht="15" hidden="false" customHeight="false" outlineLevel="0" collapsed="false">
      <c r="A72" s="19" t="n">
        <v>68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9" t="str">
        <f aca="false">IF(F72="","",IF(P72="","Pending",IF(UPPER(TRIM(F72))=UPPER(TRIM(P72)),"OK","MISMATCH")))</f>
        <v/>
      </c>
      <c r="U72" s="19" t="str">
        <f aca="false">IF(F72="","",IF(H72&lt;&gt;"Yes","N/A",IF(Q72="","Pending",IF(UPPER(TRIM(G72))=UPPER(TRIM(Q72)),"OK","MISMATCH"))))</f>
        <v/>
      </c>
      <c r="V72" s="19" t="str">
        <f aca="false">IF(F72="","",IF(L72="Yes","Blocked: hold",IF(AND(T72="OK",OR(U72="OK",U72="N/A"),R72="Yes",S72="Yes"),"Ready","Not ready")))</f>
        <v/>
      </c>
      <c r="W72" s="17"/>
      <c r="X72" s="17"/>
      <c r="Y72" s="17"/>
      <c r="Z72" s="17"/>
      <c r="AA72" s="17"/>
      <c r="AB72" s="17"/>
    </row>
    <row r="73" customFormat="false" ht="15" hidden="false" customHeight="false" outlineLevel="0" collapsed="false">
      <c r="A73" s="19" t="n">
        <v>69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9" t="str">
        <f aca="false">IF(F73="","",IF(P73="","Pending",IF(UPPER(TRIM(F73))=UPPER(TRIM(P73)),"OK","MISMATCH")))</f>
        <v/>
      </c>
      <c r="U73" s="19" t="str">
        <f aca="false">IF(F73="","",IF(H73&lt;&gt;"Yes","N/A",IF(Q73="","Pending",IF(UPPER(TRIM(G73))=UPPER(TRIM(Q73)),"OK","MISMATCH"))))</f>
        <v/>
      </c>
      <c r="V73" s="19" t="str">
        <f aca="false">IF(F73="","",IF(L73="Yes","Blocked: hold",IF(AND(T73="OK",OR(U73="OK",U73="N/A"),R73="Yes",S73="Yes"),"Ready","Not ready")))</f>
        <v/>
      </c>
      <c r="W73" s="17"/>
      <c r="X73" s="17"/>
      <c r="Y73" s="17"/>
      <c r="Z73" s="17"/>
      <c r="AA73" s="17"/>
      <c r="AB73" s="17"/>
    </row>
    <row r="74" customFormat="false" ht="15" hidden="false" customHeight="false" outlineLevel="0" collapsed="false">
      <c r="A74" s="19" t="n">
        <v>70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9" t="str">
        <f aca="false">IF(F74="","",IF(P74="","Pending",IF(UPPER(TRIM(F74))=UPPER(TRIM(P74)),"OK","MISMATCH")))</f>
        <v/>
      </c>
      <c r="U74" s="19" t="str">
        <f aca="false">IF(F74="","",IF(H74&lt;&gt;"Yes","N/A",IF(Q74="","Pending",IF(UPPER(TRIM(G74))=UPPER(TRIM(Q74)),"OK","MISMATCH"))))</f>
        <v/>
      </c>
      <c r="V74" s="19" t="str">
        <f aca="false">IF(F74="","",IF(L74="Yes","Blocked: hold",IF(AND(T74="OK",OR(U74="OK",U74="N/A"),R74="Yes",S74="Yes"),"Ready","Not ready")))</f>
        <v/>
      </c>
      <c r="W74" s="17"/>
      <c r="X74" s="17"/>
      <c r="Y74" s="17"/>
      <c r="Z74" s="17"/>
      <c r="AA74" s="17"/>
      <c r="AB74" s="17"/>
    </row>
    <row r="75" customFormat="false" ht="15" hidden="false" customHeight="false" outlineLevel="0" collapsed="false">
      <c r="A75" s="19" t="n">
        <v>71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9" t="str">
        <f aca="false">IF(F75="","",IF(P75="","Pending",IF(UPPER(TRIM(F75))=UPPER(TRIM(P75)),"OK","MISMATCH")))</f>
        <v/>
      </c>
      <c r="U75" s="19" t="str">
        <f aca="false">IF(F75="","",IF(H75&lt;&gt;"Yes","N/A",IF(Q75="","Pending",IF(UPPER(TRIM(G75))=UPPER(TRIM(Q75)),"OK","MISMATCH"))))</f>
        <v/>
      </c>
      <c r="V75" s="19" t="str">
        <f aca="false">IF(F75="","",IF(L75="Yes","Blocked: hold",IF(AND(T75="OK",OR(U75="OK",U75="N/A"),R75="Yes",S75="Yes"),"Ready","Not ready")))</f>
        <v/>
      </c>
      <c r="W75" s="17"/>
      <c r="X75" s="17"/>
      <c r="Y75" s="17"/>
      <c r="Z75" s="17"/>
      <c r="AA75" s="17"/>
      <c r="AB75" s="17"/>
    </row>
    <row r="76" customFormat="false" ht="15" hidden="false" customHeight="false" outlineLevel="0" collapsed="false">
      <c r="A76" s="19" t="n">
        <v>72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9" t="str">
        <f aca="false">IF(F76="","",IF(P76="","Pending",IF(UPPER(TRIM(F76))=UPPER(TRIM(P76)),"OK","MISMATCH")))</f>
        <v/>
      </c>
      <c r="U76" s="19" t="str">
        <f aca="false">IF(F76="","",IF(H76&lt;&gt;"Yes","N/A",IF(Q76="","Pending",IF(UPPER(TRIM(G76))=UPPER(TRIM(Q76)),"OK","MISMATCH"))))</f>
        <v/>
      </c>
      <c r="V76" s="19" t="str">
        <f aca="false">IF(F76="","",IF(L76="Yes","Blocked: hold",IF(AND(T76="OK",OR(U76="OK",U76="N/A"),R76="Yes",S76="Yes"),"Ready","Not ready")))</f>
        <v/>
      </c>
      <c r="W76" s="17"/>
      <c r="X76" s="17"/>
      <c r="Y76" s="17"/>
      <c r="Z76" s="17"/>
      <c r="AA76" s="17"/>
      <c r="AB76" s="17"/>
    </row>
    <row r="77" customFormat="false" ht="15" hidden="false" customHeight="false" outlineLevel="0" collapsed="false">
      <c r="A77" s="19" t="n">
        <v>73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9" t="str">
        <f aca="false">IF(F77="","",IF(P77="","Pending",IF(UPPER(TRIM(F77))=UPPER(TRIM(P77)),"OK","MISMATCH")))</f>
        <v/>
      </c>
      <c r="U77" s="19" t="str">
        <f aca="false">IF(F77="","",IF(H77&lt;&gt;"Yes","N/A",IF(Q77="","Pending",IF(UPPER(TRIM(G77))=UPPER(TRIM(Q77)),"OK","MISMATCH"))))</f>
        <v/>
      </c>
      <c r="V77" s="19" t="str">
        <f aca="false">IF(F77="","",IF(L77="Yes","Blocked: hold",IF(AND(T77="OK",OR(U77="OK",U77="N/A"),R77="Yes",S77="Yes"),"Ready","Not ready")))</f>
        <v/>
      </c>
      <c r="W77" s="17"/>
      <c r="X77" s="17"/>
      <c r="Y77" s="17"/>
      <c r="Z77" s="17"/>
      <c r="AA77" s="17"/>
      <c r="AB77" s="17"/>
    </row>
    <row r="78" customFormat="false" ht="15" hidden="false" customHeight="false" outlineLevel="0" collapsed="false">
      <c r="A78" s="19" t="n">
        <v>74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9" t="str">
        <f aca="false">IF(F78="","",IF(P78="","Pending",IF(UPPER(TRIM(F78))=UPPER(TRIM(P78)),"OK","MISMATCH")))</f>
        <v/>
      </c>
      <c r="U78" s="19" t="str">
        <f aca="false">IF(F78="","",IF(H78&lt;&gt;"Yes","N/A",IF(Q78="","Pending",IF(UPPER(TRIM(G78))=UPPER(TRIM(Q78)),"OK","MISMATCH"))))</f>
        <v/>
      </c>
      <c r="V78" s="19" t="str">
        <f aca="false">IF(F78="","",IF(L78="Yes","Blocked: hold",IF(AND(T78="OK",OR(U78="OK",U78="N/A"),R78="Yes",S78="Yes"),"Ready","Not ready")))</f>
        <v/>
      </c>
      <c r="W78" s="17"/>
      <c r="X78" s="17"/>
      <c r="Y78" s="17"/>
      <c r="Z78" s="17"/>
      <c r="AA78" s="17"/>
      <c r="AB78" s="17"/>
    </row>
    <row r="79" customFormat="false" ht="15" hidden="false" customHeight="false" outlineLevel="0" collapsed="false">
      <c r="A79" s="19" t="n">
        <v>75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9" t="str">
        <f aca="false">IF(F79="","",IF(P79="","Pending",IF(UPPER(TRIM(F79))=UPPER(TRIM(P79)),"OK","MISMATCH")))</f>
        <v/>
      </c>
      <c r="U79" s="19" t="str">
        <f aca="false">IF(F79="","",IF(H79&lt;&gt;"Yes","N/A",IF(Q79="","Pending",IF(UPPER(TRIM(G79))=UPPER(TRIM(Q79)),"OK","MISMATCH"))))</f>
        <v/>
      </c>
      <c r="V79" s="19" t="str">
        <f aca="false">IF(F79="","",IF(L79="Yes","Blocked: hold",IF(AND(T79="OK",OR(U79="OK",U79="N/A"),R79="Yes",S79="Yes"),"Ready","Not ready")))</f>
        <v/>
      </c>
      <c r="W79" s="17"/>
      <c r="X79" s="17"/>
      <c r="Y79" s="17"/>
      <c r="Z79" s="17"/>
      <c r="AA79" s="17"/>
      <c r="AB79" s="17"/>
    </row>
    <row r="80" customFormat="false" ht="15" hidden="false" customHeight="false" outlineLevel="0" collapsed="false">
      <c r="A80" s="19" t="n">
        <v>76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9" t="str">
        <f aca="false">IF(F80="","",IF(P80="","Pending",IF(UPPER(TRIM(F80))=UPPER(TRIM(P80)),"OK","MISMATCH")))</f>
        <v/>
      </c>
      <c r="U80" s="19" t="str">
        <f aca="false">IF(F80="","",IF(H80&lt;&gt;"Yes","N/A",IF(Q80="","Pending",IF(UPPER(TRIM(G80))=UPPER(TRIM(Q80)),"OK","MISMATCH"))))</f>
        <v/>
      </c>
      <c r="V80" s="19" t="str">
        <f aca="false">IF(F80="","",IF(L80="Yes","Blocked: hold",IF(AND(T80="OK",OR(U80="OK",U80="N/A"),R80="Yes",S80="Yes"),"Ready","Not ready")))</f>
        <v/>
      </c>
      <c r="W80" s="17"/>
      <c r="X80" s="17"/>
      <c r="Y80" s="17"/>
      <c r="Z80" s="17"/>
      <c r="AA80" s="17"/>
      <c r="AB80" s="17"/>
    </row>
    <row r="81" customFormat="false" ht="15" hidden="false" customHeight="false" outlineLevel="0" collapsed="false">
      <c r="A81" s="19" t="n">
        <v>77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9" t="str">
        <f aca="false">IF(F81="","",IF(P81="","Pending",IF(UPPER(TRIM(F81))=UPPER(TRIM(P81)),"OK","MISMATCH")))</f>
        <v/>
      </c>
      <c r="U81" s="19" t="str">
        <f aca="false">IF(F81="","",IF(H81&lt;&gt;"Yes","N/A",IF(Q81="","Pending",IF(UPPER(TRIM(G81))=UPPER(TRIM(Q81)),"OK","MISMATCH"))))</f>
        <v/>
      </c>
      <c r="V81" s="19" t="str">
        <f aca="false">IF(F81="","",IF(L81="Yes","Blocked: hold",IF(AND(T81="OK",OR(U81="OK",U81="N/A"),R81="Yes",S81="Yes"),"Ready","Not ready")))</f>
        <v/>
      </c>
      <c r="W81" s="17"/>
      <c r="X81" s="17"/>
      <c r="Y81" s="17"/>
      <c r="Z81" s="17"/>
      <c r="AA81" s="17"/>
      <c r="AB81" s="17"/>
    </row>
    <row r="82" customFormat="false" ht="15" hidden="false" customHeight="false" outlineLevel="0" collapsed="false">
      <c r="A82" s="19" t="n">
        <v>78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9" t="str">
        <f aca="false">IF(F82="","",IF(P82="","Pending",IF(UPPER(TRIM(F82))=UPPER(TRIM(P82)),"OK","MISMATCH")))</f>
        <v/>
      </c>
      <c r="U82" s="19" t="str">
        <f aca="false">IF(F82="","",IF(H82&lt;&gt;"Yes","N/A",IF(Q82="","Pending",IF(UPPER(TRIM(G82))=UPPER(TRIM(Q82)),"OK","MISMATCH"))))</f>
        <v/>
      </c>
      <c r="V82" s="19" t="str">
        <f aca="false">IF(F82="","",IF(L82="Yes","Blocked: hold",IF(AND(T82="OK",OR(U82="OK",U82="N/A"),R82="Yes",S82="Yes"),"Ready","Not ready")))</f>
        <v/>
      </c>
      <c r="W82" s="17"/>
      <c r="X82" s="17"/>
      <c r="Y82" s="17"/>
      <c r="Z82" s="17"/>
      <c r="AA82" s="17"/>
      <c r="AB82" s="17"/>
    </row>
    <row r="83" customFormat="false" ht="15" hidden="false" customHeight="false" outlineLevel="0" collapsed="false">
      <c r="A83" s="19" t="n">
        <v>79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9" t="str">
        <f aca="false">IF(F83="","",IF(P83="","Pending",IF(UPPER(TRIM(F83))=UPPER(TRIM(P83)),"OK","MISMATCH")))</f>
        <v/>
      </c>
      <c r="U83" s="19" t="str">
        <f aca="false">IF(F83="","",IF(H83&lt;&gt;"Yes","N/A",IF(Q83="","Pending",IF(UPPER(TRIM(G83))=UPPER(TRIM(Q83)),"OK","MISMATCH"))))</f>
        <v/>
      </c>
      <c r="V83" s="19" t="str">
        <f aca="false">IF(F83="","",IF(L83="Yes","Blocked: hold",IF(AND(T83="OK",OR(U83="OK",U83="N/A"),R83="Yes",S83="Yes"),"Ready","Not ready")))</f>
        <v/>
      </c>
      <c r="W83" s="17"/>
      <c r="X83" s="17"/>
      <c r="Y83" s="17"/>
      <c r="Z83" s="17"/>
      <c r="AA83" s="17"/>
      <c r="AB83" s="17"/>
    </row>
    <row r="84" customFormat="false" ht="15" hidden="false" customHeight="false" outlineLevel="0" collapsed="false">
      <c r="A84" s="19" t="n">
        <v>80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9" t="str">
        <f aca="false">IF(F84="","",IF(P84="","Pending",IF(UPPER(TRIM(F84))=UPPER(TRIM(P84)),"OK","MISMATCH")))</f>
        <v/>
      </c>
      <c r="U84" s="19" t="str">
        <f aca="false">IF(F84="","",IF(H84&lt;&gt;"Yes","N/A",IF(Q84="","Pending",IF(UPPER(TRIM(G84))=UPPER(TRIM(Q84)),"OK","MISMATCH"))))</f>
        <v/>
      </c>
      <c r="V84" s="19" t="str">
        <f aca="false">IF(F84="","",IF(L84="Yes","Blocked: hold",IF(AND(T84="OK",OR(U84="OK",U84="N/A"),R84="Yes",S84="Yes"),"Ready","Not ready")))</f>
        <v/>
      </c>
      <c r="W84" s="17"/>
      <c r="X84" s="17"/>
      <c r="Y84" s="17"/>
      <c r="Z84" s="17"/>
      <c r="AA84" s="17"/>
      <c r="AB84" s="17"/>
    </row>
    <row r="85" customFormat="false" ht="15" hidden="false" customHeight="false" outlineLevel="0" collapsed="false">
      <c r="A85" s="19" t="n">
        <v>81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9" t="str">
        <f aca="false">IF(F85="","",IF(P85="","Pending",IF(UPPER(TRIM(F85))=UPPER(TRIM(P85)),"OK","MISMATCH")))</f>
        <v/>
      </c>
      <c r="U85" s="19" t="str">
        <f aca="false">IF(F85="","",IF(H85&lt;&gt;"Yes","N/A",IF(Q85="","Pending",IF(UPPER(TRIM(G85))=UPPER(TRIM(Q85)),"OK","MISMATCH"))))</f>
        <v/>
      </c>
      <c r="V85" s="19" t="str">
        <f aca="false">IF(F85="","",IF(L85="Yes","Blocked: hold",IF(AND(T85="OK",OR(U85="OK",U85="N/A"),R85="Yes",S85="Yes"),"Ready","Not ready")))</f>
        <v/>
      </c>
      <c r="W85" s="17"/>
      <c r="X85" s="17"/>
      <c r="Y85" s="17"/>
      <c r="Z85" s="17"/>
      <c r="AA85" s="17"/>
      <c r="AB85" s="17"/>
    </row>
    <row r="86" customFormat="false" ht="15" hidden="false" customHeight="false" outlineLevel="0" collapsed="false">
      <c r="A86" s="19" t="n">
        <v>82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9" t="str">
        <f aca="false">IF(F86="","",IF(P86="","Pending",IF(UPPER(TRIM(F86))=UPPER(TRIM(P86)),"OK","MISMATCH")))</f>
        <v/>
      </c>
      <c r="U86" s="19" t="str">
        <f aca="false">IF(F86="","",IF(H86&lt;&gt;"Yes","N/A",IF(Q86="","Pending",IF(UPPER(TRIM(G86))=UPPER(TRIM(Q86)),"OK","MISMATCH"))))</f>
        <v/>
      </c>
      <c r="V86" s="19" t="str">
        <f aca="false">IF(F86="","",IF(L86="Yes","Blocked: hold",IF(AND(T86="OK",OR(U86="OK",U86="N/A"),R86="Yes",S86="Yes"),"Ready","Not ready")))</f>
        <v/>
      </c>
      <c r="W86" s="17"/>
      <c r="X86" s="17"/>
      <c r="Y86" s="17"/>
      <c r="Z86" s="17"/>
      <c r="AA86" s="17"/>
      <c r="AB86" s="17"/>
    </row>
    <row r="87" customFormat="false" ht="15" hidden="false" customHeight="false" outlineLevel="0" collapsed="false">
      <c r="A87" s="19" t="n">
        <v>83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9" t="str">
        <f aca="false">IF(F87="","",IF(P87="","Pending",IF(UPPER(TRIM(F87))=UPPER(TRIM(P87)),"OK","MISMATCH")))</f>
        <v/>
      </c>
      <c r="U87" s="19" t="str">
        <f aca="false">IF(F87="","",IF(H87&lt;&gt;"Yes","N/A",IF(Q87="","Pending",IF(UPPER(TRIM(G87))=UPPER(TRIM(Q87)),"OK","MISMATCH"))))</f>
        <v/>
      </c>
      <c r="V87" s="19" t="str">
        <f aca="false">IF(F87="","",IF(L87="Yes","Blocked: hold",IF(AND(T87="OK",OR(U87="OK",U87="N/A"),R87="Yes",S87="Yes"),"Ready","Not ready")))</f>
        <v/>
      </c>
      <c r="W87" s="17"/>
      <c r="X87" s="17"/>
      <c r="Y87" s="17"/>
      <c r="Z87" s="17"/>
      <c r="AA87" s="17"/>
      <c r="AB87" s="17"/>
    </row>
    <row r="88" customFormat="false" ht="15" hidden="false" customHeight="false" outlineLevel="0" collapsed="false">
      <c r="A88" s="19" t="n">
        <v>84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9" t="str">
        <f aca="false">IF(F88="","",IF(P88="","Pending",IF(UPPER(TRIM(F88))=UPPER(TRIM(P88)),"OK","MISMATCH")))</f>
        <v/>
      </c>
      <c r="U88" s="19" t="str">
        <f aca="false">IF(F88="","",IF(H88&lt;&gt;"Yes","N/A",IF(Q88="","Pending",IF(UPPER(TRIM(G88))=UPPER(TRIM(Q88)),"OK","MISMATCH"))))</f>
        <v/>
      </c>
      <c r="V88" s="19" t="str">
        <f aca="false">IF(F88="","",IF(L88="Yes","Blocked: hold",IF(AND(T88="OK",OR(U88="OK",U88="N/A"),R88="Yes",S88="Yes"),"Ready","Not ready")))</f>
        <v/>
      </c>
      <c r="W88" s="17"/>
      <c r="X88" s="17"/>
      <c r="Y88" s="17"/>
      <c r="Z88" s="17"/>
      <c r="AA88" s="17"/>
      <c r="AB88" s="17"/>
    </row>
    <row r="89" customFormat="false" ht="15" hidden="false" customHeight="false" outlineLevel="0" collapsed="false">
      <c r="A89" s="19" t="n">
        <v>85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9" t="str">
        <f aca="false">IF(F89="","",IF(P89="","Pending",IF(UPPER(TRIM(F89))=UPPER(TRIM(P89)),"OK","MISMATCH")))</f>
        <v/>
      </c>
      <c r="U89" s="19" t="str">
        <f aca="false">IF(F89="","",IF(H89&lt;&gt;"Yes","N/A",IF(Q89="","Pending",IF(UPPER(TRIM(G89))=UPPER(TRIM(Q89)),"OK","MISMATCH"))))</f>
        <v/>
      </c>
      <c r="V89" s="19" t="str">
        <f aca="false">IF(F89="","",IF(L89="Yes","Blocked: hold",IF(AND(T89="OK",OR(U89="OK",U89="N/A"),R89="Yes",S89="Yes"),"Ready","Not ready")))</f>
        <v/>
      </c>
      <c r="W89" s="17"/>
      <c r="X89" s="17"/>
      <c r="Y89" s="17"/>
      <c r="Z89" s="17"/>
      <c r="AA89" s="17"/>
      <c r="AB89" s="17"/>
    </row>
    <row r="90" customFormat="false" ht="15" hidden="false" customHeight="false" outlineLevel="0" collapsed="false">
      <c r="A90" s="19" t="n">
        <v>86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9" t="str">
        <f aca="false">IF(F90="","",IF(P90="","Pending",IF(UPPER(TRIM(F90))=UPPER(TRIM(P90)),"OK","MISMATCH")))</f>
        <v/>
      </c>
      <c r="U90" s="19" t="str">
        <f aca="false">IF(F90="","",IF(H90&lt;&gt;"Yes","N/A",IF(Q90="","Pending",IF(UPPER(TRIM(G90))=UPPER(TRIM(Q90)),"OK","MISMATCH"))))</f>
        <v/>
      </c>
      <c r="V90" s="19" t="str">
        <f aca="false">IF(F90="","",IF(L90="Yes","Blocked: hold",IF(AND(T90="OK",OR(U90="OK",U90="N/A"),R90="Yes",S90="Yes"),"Ready","Not ready")))</f>
        <v/>
      </c>
      <c r="W90" s="17"/>
      <c r="X90" s="17"/>
      <c r="Y90" s="17"/>
      <c r="Z90" s="17"/>
      <c r="AA90" s="17"/>
      <c r="AB90" s="17"/>
    </row>
    <row r="91" customFormat="false" ht="15" hidden="false" customHeight="false" outlineLevel="0" collapsed="false">
      <c r="A91" s="19" t="n">
        <v>87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9" t="str">
        <f aca="false">IF(F91="","",IF(P91="","Pending",IF(UPPER(TRIM(F91))=UPPER(TRIM(P91)),"OK","MISMATCH")))</f>
        <v/>
      </c>
      <c r="U91" s="19" t="str">
        <f aca="false">IF(F91="","",IF(H91&lt;&gt;"Yes","N/A",IF(Q91="","Pending",IF(UPPER(TRIM(G91))=UPPER(TRIM(Q91)),"OK","MISMATCH"))))</f>
        <v/>
      </c>
      <c r="V91" s="19" t="str">
        <f aca="false">IF(F91="","",IF(L91="Yes","Blocked: hold",IF(AND(T91="OK",OR(U91="OK",U91="N/A"),R91="Yes",S91="Yes"),"Ready","Not ready")))</f>
        <v/>
      </c>
      <c r="W91" s="17"/>
      <c r="X91" s="17"/>
      <c r="Y91" s="17"/>
      <c r="Z91" s="17"/>
      <c r="AA91" s="17"/>
      <c r="AB91" s="17"/>
    </row>
    <row r="92" customFormat="false" ht="15" hidden="false" customHeight="false" outlineLevel="0" collapsed="false">
      <c r="A92" s="19" t="n">
        <v>88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9" t="str">
        <f aca="false">IF(F92="","",IF(P92="","Pending",IF(UPPER(TRIM(F92))=UPPER(TRIM(P92)),"OK","MISMATCH")))</f>
        <v/>
      </c>
      <c r="U92" s="19" t="str">
        <f aca="false">IF(F92="","",IF(H92&lt;&gt;"Yes","N/A",IF(Q92="","Pending",IF(UPPER(TRIM(G92))=UPPER(TRIM(Q92)),"OK","MISMATCH"))))</f>
        <v/>
      </c>
      <c r="V92" s="19" t="str">
        <f aca="false">IF(F92="","",IF(L92="Yes","Blocked: hold",IF(AND(T92="OK",OR(U92="OK",U92="N/A"),R92="Yes",S92="Yes"),"Ready","Not ready")))</f>
        <v/>
      </c>
      <c r="W92" s="17"/>
      <c r="X92" s="17"/>
      <c r="Y92" s="17"/>
      <c r="Z92" s="17"/>
      <c r="AA92" s="17"/>
      <c r="AB92" s="17"/>
    </row>
    <row r="93" customFormat="false" ht="15" hidden="false" customHeight="false" outlineLevel="0" collapsed="false">
      <c r="A93" s="19" t="n">
        <v>89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9" t="str">
        <f aca="false">IF(F93="","",IF(P93="","Pending",IF(UPPER(TRIM(F93))=UPPER(TRIM(P93)),"OK","MISMATCH")))</f>
        <v/>
      </c>
      <c r="U93" s="19" t="str">
        <f aca="false">IF(F93="","",IF(H93&lt;&gt;"Yes","N/A",IF(Q93="","Pending",IF(UPPER(TRIM(G93))=UPPER(TRIM(Q93)),"OK","MISMATCH"))))</f>
        <v/>
      </c>
      <c r="V93" s="19" t="str">
        <f aca="false">IF(F93="","",IF(L93="Yes","Blocked: hold",IF(AND(T93="OK",OR(U93="OK",U93="N/A"),R93="Yes",S93="Yes"),"Ready","Not ready")))</f>
        <v/>
      </c>
      <c r="W93" s="17"/>
      <c r="X93" s="17"/>
      <c r="Y93" s="17"/>
      <c r="Z93" s="17"/>
      <c r="AA93" s="17"/>
      <c r="AB93" s="17"/>
    </row>
    <row r="94" customFormat="false" ht="15" hidden="false" customHeight="false" outlineLevel="0" collapsed="false">
      <c r="A94" s="19" t="n">
        <v>90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9" t="str">
        <f aca="false">IF(F94="","",IF(P94="","Pending",IF(UPPER(TRIM(F94))=UPPER(TRIM(P94)),"OK","MISMATCH")))</f>
        <v/>
      </c>
      <c r="U94" s="19" t="str">
        <f aca="false">IF(F94="","",IF(H94&lt;&gt;"Yes","N/A",IF(Q94="","Pending",IF(UPPER(TRIM(G94))=UPPER(TRIM(Q94)),"OK","MISMATCH"))))</f>
        <v/>
      </c>
      <c r="V94" s="19" t="str">
        <f aca="false">IF(F94="","",IF(L94="Yes","Blocked: hold",IF(AND(T94="OK",OR(U94="OK",U94="N/A"),R94="Yes",S94="Yes"),"Ready","Not ready")))</f>
        <v/>
      </c>
      <c r="W94" s="17"/>
      <c r="X94" s="17"/>
      <c r="Y94" s="17"/>
      <c r="Z94" s="17"/>
      <c r="AA94" s="17"/>
      <c r="AB94" s="17"/>
    </row>
    <row r="95" customFormat="false" ht="15" hidden="false" customHeight="false" outlineLevel="0" collapsed="false">
      <c r="A95" s="19" t="n">
        <v>91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9" t="str">
        <f aca="false">IF(F95="","",IF(P95="","Pending",IF(UPPER(TRIM(F95))=UPPER(TRIM(P95)),"OK","MISMATCH")))</f>
        <v/>
      </c>
      <c r="U95" s="19" t="str">
        <f aca="false">IF(F95="","",IF(H95&lt;&gt;"Yes","N/A",IF(Q95="","Pending",IF(UPPER(TRIM(G95))=UPPER(TRIM(Q95)),"OK","MISMATCH"))))</f>
        <v/>
      </c>
      <c r="V95" s="19" t="str">
        <f aca="false">IF(F95="","",IF(L95="Yes","Blocked: hold",IF(AND(T95="OK",OR(U95="OK",U95="N/A"),R95="Yes",S95="Yes"),"Ready","Not ready")))</f>
        <v/>
      </c>
      <c r="W95" s="17"/>
      <c r="X95" s="17"/>
      <c r="Y95" s="17"/>
      <c r="Z95" s="17"/>
      <c r="AA95" s="17"/>
      <c r="AB95" s="17"/>
    </row>
    <row r="96" customFormat="false" ht="15" hidden="false" customHeight="false" outlineLevel="0" collapsed="false">
      <c r="A96" s="19" t="n">
        <v>92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9" t="str">
        <f aca="false">IF(F96="","",IF(P96="","Pending",IF(UPPER(TRIM(F96))=UPPER(TRIM(P96)),"OK","MISMATCH")))</f>
        <v/>
      </c>
      <c r="U96" s="19" t="str">
        <f aca="false">IF(F96="","",IF(H96&lt;&gt;"Yes","N/A",IF(Q96="","Pending",IF(UPPER(TRIM(G96))=UPPER(TRIM(Q96)),"OK","MISMATCH"))))</f>
        <v/>
      </c>
      <c r="V96" s="19" t="str">
        <f aca="false">IF(F96="","",IF(L96="Yes","Blocked: hold",IF(AND(T96="OK",OR(U96="OK",U96="N/A"),R96="Yes",S96="Yes"),"Ready","Not ready")))</f>
        <v/>
      </c>
      <c r="W96" s="17"/>
      <c r="X96" s="17"/>
      <c r="Y96" s="17"/>
      <c r="Z96" s="17"/>
      <c r="AA96" s="17"/>
      <c r="AB96" s="17"/>
    </row>
    <row r="97" customFormat="false" ht="15" hidden="false" customHeight="false" outlineLevel="0" collapsed="false">
      <c r="A97" s="19" t="n">
        <v>93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9" t="str">
        <f aca="false">IF(F97="","",IF(P97="","Pending",IF(UPPER(TRIM(F97))=UPPER(TRIM(P97)),"OK","MISMATCH")))</f>
        <v/>
      </c>
      <c r="U97" s="19" t="str">
        <f aca="false">IF(F97="","",IF(H97&lt;&gt;"Yes","N/A",IF(Q97="","Pending",IF(UPPER(TRIM(G97))=UPPER(TRIM(Q97)),"OK","MISMATCH"))))</f>
        <v/>
      </c>
      <c r="V97" s="19" t="str">
        <f aca="false">IF(F97="","",IF(L97="Yes","Blocked: hold",IF(AND(T97="OK",OR(U97="OK",U97="N/A"),R97="Yes",S97="Yes"),"Ready","Not ready")))</f>
        <v/>
      </c>
      <c r="W97" s="17"/>
      <c r="X97" s="17"/>
      <c r="Y97" s="17"/>
      <c r="Z97" s="17"/>
      <c r="AA97" s="17"/>
      <c r="AB97" s="17"/>
    </row>
    <row r="98" customFormat="false" ht="15" hidden="false" customHeight="false" outlineLevel="0" collapsed="false">
      <c r="A98" s="19" t="n">
        <v>94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9" t="str">
        <f aca="false">IF(F98="","",IF(P98="","Pending",IF(UPPER(TRIM(F98))=UPPER(TRIM(P98)),"OK","MISMATCH")))</f>
        <v/>
      </c>
      <c r="U98" s="19" t="str">
        <f aca="false">IF(F98="","",IF(H98&lt;&gt;"Yes","N/A",IF(Q98="","Pending",IF(UPPER(TRIM(G98))=UPPER(TRIM(Q98)),"OK","MISMATCH"))))</f>
        <v/>
      </c>
      <c r="V98" s="19" t="str">
        <f aca="false">IF(F98="","",IF(L98="Yes","Blocked: hold",IF(AND(T98="OK",OR(U98="OK",U98="N/A"),R98="Yes",S98="Yes"),"Ready","Not ready")))</f>
        <v/>
      </c>
      <c r="W98" s="17"/>
      <c r="X98" s="17"/>
      <c r="Y98" s="17"/>
      <c r="Z98" s="17"/>
      <c r="AA98" s="17"/>
      <c r="AB98" s="17"/>
    </row>
    <row r="99" customFormat="false" ht="15" hidden="false" customHeight="false" outlineLevel="0" collapsed="false">
      <c r="A99" s="19" t="n">
        <v>95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9" t="str">
        <f aca="false">IF(F99="","",IF(P99="","Pending",IF(UPPER(TRIM(F99))=UPPER(TRIM(P99)),"OK","MISMATCH")))</f>
        <v/>
      </c>
      <c r="U99" s="19" t="str">
        <f aca="false">IF(F99="","",IF(H99&lt;&gt;"Yes","N/A",IF(Q99="","Pending",IF(UPPER(TRIM(G99))=UPPER(TRIM(Q99)),"OK","MISMATCH"))))</f>
        <v/>
      </c>
      <c r="V99" s="19" t="str">
        <f aca="false">IF(F99="","",IF(L99="Yes","Blocked: hold",IF(AND(T99="OK",OR(U99="OK",U99="N/A"),R99="Yes",S99="Yes"),"Ready","Not ready")))</f>
        <v/>
      </c>
      <c r="W99" s="17"/>
      <c r="X99" s="17"/>
      <c r="Y99" s="17"/>
      <c r="Z99" s="17"/>
      <c r="AA99" s="17"/>
      <c r="AB99" s="17"/>
    </row>
    <row r="100" customFormat="false" ht="15" hidden="false" customHeight="false" outlineLevel="0" collapsed="false">
      <c r="A100" s="19" t="n">
        <v>96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9" t="str">
        <f aca="false">IF(F100="","",IF(P100="","Pending",IF(UPPER(TRIM(F100))=UPPER(TRIM(P100)),"OK","MISMATCH")))</f>
        <v/>
      </c>
      <c r="U100" s="19" t="str">
        <f aca="false">IF(F100="","",IF(H100&lt;&gt;"Yes","N/A",IF(Q100="","Pending",IF(UPPER(TRIM(G100))=UPPER(TRIM(Q100)),"OK","MISMATCH"))))</f>
        <v/>
      </c>
      <c r="V100" s="19" t="str">
        <f aca="false">IF(F100="","",IF(L100="Yes","Blocked: hold",IF(AND(T100="OK",OR(U100="OK",U100="N/A"),R100="Yes",S100="Yes"),"Ready","Not ready")))</f>
        <v/>
      </c>
      <c r="W100" s="17"/>
      <c r="X100" s="17"/>
      <c r="Y100" s="17"/>
      <c r="Z100" s="17"/>
      <c r="AA100" s="17"/>
      <c r="AB100" s="17"/>
    </row>
    <row r="101" customFormat="false" ht="15" hidden="false" customHeight="false" outlineLevel="0" collapsed="false">
      <c r="A101" s="19" t="n">
        <v>97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9" t="str">
        <f aca="false">IF(F101="","",IF(P101="","Pending",IF(UPPER(TRIM(F101))=UPPER(TRIM(P101)),"OK","MISMATCH")))</f>
        <v/>
      </c>
      <c r="U101" s="19" t="str">
        <f aca="false">IF(F101="","",IF(H101&lt;&gt;"Yes","N/A",IF(Q101="","Pending",IF(UPPER(TRIM(G101))=UPPER(TRIM(Q101)),"OK","MISMATCH"))))</f>
        <v/>
      </c>
      <c r="V101" s="19" t="str">
        <f aca="false">IF(F101="","",IF(L101="Yes","Blocked: hold",IF(AND(T101="OK",OR(U101="OK",U101="N/A"),R101="Yes",S101="Yes"),"Ready","Not ready")))</f>
        <v/>
      </c>
      <c r="W101" s="17"/>
      <c r="X101" s="17"/>
      <c r="Y101" s="17"/>
      <c r="Z101" s="17"/>
      <c r="AA101" s="17"/>
      <c r="AB101" s="17"/>
    </row>
    <row r="102" customFormat="false" ht="15" hidden="false" customHeight="false" outlineLevel="0" collapsed="false">
      <c r="A102" s="19" t="n">
        <v>98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9" t="str">
        <f aca="false">IF(F102="","",IF(P102="","Pending",IF(UPPER(TRIM(F102))=UPPER(TRIM(P102)),"OK","MISMATCH")))</f>
        <v/>
      </c>
      <c r="U102" s="19" t="str">
        <f aca="false">IF(F102="","",IF(H102&lt;&gt;"Yes","N/A",IF(Q102="","Pending",IF(UPPER(TRIM(G102))=UPPER(TRIM(Q102)),"OK","MISMATCH"))))</f>
        <v/>
      </c>
      <c r="V102" s="19" t="str">
        <f aca="false">IF(F102="","",IF(L102="Yes","Blocked: hold",IF(AND(T102="OK",OR(U102="OK",U102="N/A"),R102="Yes",S102="Yes"),"Ready","Not ready")))</f>
        <v/>
      </c>
      <c r="W102" s="17"/>
      <c r="X102" s="17"/>
      <c r="Y102" s="17"/>
      <c r="Z102" s="17"/>
      <c r="AA102" s="17"/>
      <c r="AB102" s="17"/>
    </row>
    <row r="103" customFormat="false" ht="15" hidden="false" customHeight="false" outlineLevel="0" collapsed="false">
      <c r="A103" s="19" t="n">
        <v>99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9" t="str">
        <f aca="false">IF(F103="","",IF(P103="","Pending",IF(UPPER(TRIM(F103))=UPPER(TRIM(P103)),"OK","MISMATCH")))</f>
        <v/>
      </c>
      <c r="U103" s="19" t="str">
        <f aca="false">IF(F103="","",IF(H103&lt;&gt;"Yes","N/A",IF(Q103="","Pending",IF(UPPER(TRIM(G103))=UPPER(TRIM(Q103)),"OK","MISMATCH"))))</f>
        <v/>
      </c>
      <c r="V103" s="19" t="str">
        <f aca="false">IF(F103="","",IF(L103="Yes","Blocked: hold",IF(AND(T103="OK",OR(U103="OK",U103="N/A"),R103="Yes",S103="Yes"),"Ready","Not ready")))</f>
        <v/>
      </c>
      <c r="W103" s="17"/>
      <c r="X103" s="17"/>
      <c r="Y103" s="17"/>
      <c r="Z103" s="17"/>
      <c r="AA103" s="17"/>
      <c r="AB103" s="17"/>
    </row>
    <row r="104" customFormat="false" ht="15" hidden="false" customHeight="false" outlineLevel="0" collapsed="false">
      <c r="A104" s="19" t="n">
        <v>100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9" t="str">
        <f aca="false">IF(F104="","",IF(P104="","Pending",IF(UPPER(TRIM(F104))=UPPER(TRIM(P104)),"OK","MISMATCH")))</f>
        <v/>
      </c>
      <c r="U104" s="19" t="str">
        <f aca="false">IF(F104="","",IF(H104&lt;&gt;"Yes","N/A",IF(Q104="","Pending",IF(UPPER(TRIM(G104))=UPPER(TRIM(Q104)),"OK","MISMATCH"))))</f>
        <v/>
      </c>
      <c r="V104" s="19" t="str">
        <f aca="false">IF(F104="","",IF(L104="Yes","Blocked: hold",IF(AND(T104="OK",OR(U104="OK",U104="N/A"),R104="Yes",S104="Yes"),"Ready","Not ready")))</f>
        <v/>
      </c>
      <c r="W104" s="17"/>
      <c r="X104" s="17"/>
      <c r="Y104" s="17"/>
      <c r="Z104" s="17"/>
      <c r="AA104" s="17"/>
      <c r="AB104" s="17"/>
    </row>
    <row r="105" customFormat="false" ht="15" hidden="false" customHeight="false" outlineLevel="0" collapsed="false">
      <c r="A105" s="19" t="n">
        <v>101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9" t="str">
        <f aca="false">IF(F105="","",IF(P105="","Pending",IF(UPPER(TRIM(F105))=UPPER(TRIM(P105)),"OK","MISMATCH")))</f>
        <v/>
      </c>
      <c r="U105" s="19" t="str">
        <f aca="false">IF(F105="","",IF(H105&lt;&gt;"Yes","N/A",IF(Q105="","Pending",IF(UPPER(TRIM(G105))=UPPER(TRIM(Q105)),"OK","MISMATCH"))))</f>
        <v/>
      </c>
      <c r="V105" s="19" t="str">
        <f aca="false">IF(F105="","",IF(L105="Yes","Blocked: hold",IF(AND(T105="OK",OR(U105="OK",U105="N/A"),R105="Yes",S105="Yes"),"Ready","Not ready")))</f>
        <v/>
      </c>
      <c r="W105" s="17"/>
      <c r="X105" s="17"/>
      <c r="Y105" s="17"/>
      <c r="Z105" s="17"/>
      <c r="AA105" s="17"/>
      <c r="AB105" s="17"/>
    </row>
    <row r="106" customFormat="false" ht="15" hidden="false" customHeight="false" outlineLevel="0" collapsed="false">
      <c r="A106" s="19" t="n">
        <v>102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9" t="str">
        <f aca="false">IF(F106="","",IF(P106="","Pending",IF(UPPER(TRIM(F106))=UPPER(TRIM(P106)),"OK","MISMATCH")))</f>
        <v/>
      </c>
      <c r="U106" s="19" t="str">
        <f aca="false">IF(F106="","",IF(H106&lt;&gt;"Yes","N/A",IF(Q106="","Pending",IF(UPPER(TRIM(G106))=UPPER(TRIM(Q106)),"OK","MISMATCH"))))</f>
        <v/>
      </c>
      <c r="V106" s="19" t="str">
        <f aca="false">IF(F106="","",IF(L106="Yes","Blocked: hold",IF(AND(T106="OK",OR(U106="OK",U106="N/A"),R106="Yes",S106="Yes"),"Ready","Not ready")))</f>
        <v/>
      </c>
      <c r="W106" s="17"/>
      <c r="X106" s="17"/>
      <c r="Y106" s="17"/>
      <c r="Z106" s="17"/>
      <c r="AA106" s="17"/>
      <c r="AB106" s="17"/>
    </row>
    <row r="107" customFormat="false" ht="15" hidden="false" customHeight="false" outlineLevel="0" collapsed="false">
      <c r="A107" s="19" t="n">
        <v>103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9" t="str">
        <f aca="false">IF(F107="","",IF(P107="","Pending",IF(UPPER(TRIM(F107))=UPPER(TRIM(P107)),"OK","MISMATCH")))</f>
        <v/>
      </c>
      <c r="U107" s="19" t="str">
        <f aca="false">IF(F107="","",IF(H107&lt;&gt;"Yes","N/A",IF(Q107="","Pending",IF(UPPER(TRIM(G107))=UPPER(TRIM(Q107)),"OK","MISMATCH"))))</f>
        <v/>
      </c>
      <c r="V107" s="19" t="str">
        <f aca="false">IF(F107="","",IF(L107="Yes","Blocked: hold",IF(AND(T107="OK",OR(U107="OK",U107="N/A"),R107="Yes",S107="Yes"),"Ready","Not ready")))</f>
        <v/>
      </c>
      <c r="W107" s="17"/>
      <c r="X107" s="17"/>
      <c r="Y107" s="17"/>
      <c r="Z107" s="17"/>
      <c r="AA107" s="17"/>
      <c r="AB107" s="17"/>
    </row>
    <row r="108" customFormat="false" ht="15" hidden="false" customHeight="false" outlineLevel="0" collapsed="false">
      <c r="A108" s="19" t="n">
        <v>104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9" t="str">
        <f aca="false">IF(F108="","",IF(P108="","Pending",IF(UPPER(TRIM(F108))=UPPER(TRIM(P108)),"OK","MISMATCH")))</f>
        <v/>
      </c>
      <c r="U108" s="19" t="str">
        <f aca="false">IF(F108="","",IF(H108&lt;&gt;"Yes","N/A",IF(Q108="","Pending",IF(UPPER(TRIM(G108))=UPPER(TRIM(Q108)),"OK","MISMATCH"))))</f>
        <v/>
      </c>
      <c r="V108" s="19" t="str">
        <f aca="false">IF(F108="","",IF(L108="Yes","Blocked: hold",IF(AND(T108="OK",OR(U108="OK",U108="N/A"),R108="Yes",S108="Yes"),"Ready","Not ready")))</f>
        <v/>
      </c>
      <c r="W108" s="17"/>
      <c r="X108" s="17"/>
      <c r="Y108" s="17"/>
      <c r="Z108" s="17"/>
      <c r="AA108" s="17"/>
      <c r="AB108" s="17"/>
    </row>
    <row r="109" customFormat="false" ht="15" hidden="false" customHeight="false" outlineLevel="0" collapsed="false">
      <c r="A109" s="19" t="n">
        <v>105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9" t="str">
        <f aca="false">IF(F109="","",IF(P109="","Pending",IF(UPPER(TRIM(F109))=UPPER(TRIM(P109)),"OK","MISMATCH")))</f>
        <v/>
      </c>
      <c r="U109" s="19" t="str">
        <f aca="false">IF(F109="","",IF(H109&lt;&gt;"Yes","N/A",IF(Q109="","Pending",IF(UPPER(TRIM(G109))=UPPER(TRIM(Q109)),"OK","MISMATCH"))))</f>
        <v/>
      </c>
      <c r="V109" s="19" t="str">
        <f aca="false">IF(F109="","",IF(L109="Yes","Blocked: hold",IF(AND(T109="OK",OR(U109="OK",U109="N/A"),R109="Yes",S109="Yes"),"Ready","Not ready")))</f>
        <v/>
      </c>
      <c r="W109" s="17"/>
      <c r="X109" s="17"/>
      <c r="Y109" s="17"/>
      <c r="Z109" s="17"/>
      <c r="AA109" s="17"/>
      <c r="AB109" s="17"/>
    </row>
    <row r="110" customFormat="false" ht="15" hidden="false" customHeight="false" outlineLevel="0" collapsed="false">
      <c r="A110" s="19" t="n">
        <v>106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9" t="str">
        <f aca="false">IF(F110="","",IF(P110="","Pending",IF(UPPER(TRIM(F110))=UPPER(TRIM(P110)),"OK","MISMATCH")))</f>
        <v/>
      </c>
      <c r="U110" s="19" t="str">
        <f aca="false">IF(F110="","",IF(H110&lt;&gt;"Yes","N/A",IF(Q110="","Pending",IF(UPPER(TRIM(G110))=UPPER(TRIM(Q110)),"OK","MISMATCH"))))</f>
        <v/>
      </c>
      <c r="V110" s="19" t="str">
        <f aca="false">IF(F110="","",IF(L110="Yes","Blocked: hold",IF(AND(T110="OK",OR(U110="OK",U110="N/A"),R110="Yes",S110="Yes"),"Ready","Not ready")))</f>
        <v/>
      </c>
      <c r="W110" s="17"/>
      <c r="X110" s="17"/>
      <c r="Y110" s="17"/>
      <c r="Z110" s="17"/>
      <c r="AA110" s="17"/>
      <c r="AB110" s="17"/>
    </row>
    <row r="111" customFormat="false" ht="15" hidden="false" customHeight="false" outlineLevel="0" collapsed="false">
      <c r="A111" s="19" t="n">
        <v>107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9" t="str">
        <f aca="false">IF(F111="","",IF(P111="","Pending",IF(UPPER(TRIM(F111))=UPPER(TRIM(P111)),"OK","MISMATCH")))</f>
        <v/>
      </c>
      <c r="U111" s="19" t="str">
        <f aca="false">IF(F111="","",IF(H111&lt;&gt;"Yes","N/A",IF(Q111="","Pending",IF(UPPER(TRIM(G111))=UPPER(TRIM(Q111)),"OK","MISMATCH"))))</f>
        <v/>
      </c>
      <c r="V111" s="19" t="str">
        <f aca="false">IF(F111="","",IF(L111="Yes","Blocked: hold",IF(AND(T111="OK",OR(U111="OK",U111="N/A"),R111="Yes",S111="Yes"),"Ready","Not ready")))</f>
        <v/>
      </c>
      <c r="W111" s="17"/>
      <c r="X111" s="17"/>
      <c r="Y111" s="17"/>
      <c r="Z111" s="17"/>
      <c r="AA111" s="17"/>
      <c r="AB111" s="17"/>
    </row>
    <row r="112" customFormat="false" ht="15" hidden="false" customHeight="false" outlineLevel="0" collapsed="false">
      <c r="A112" s="19" t="n">
        <v>108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9" t="str">
        <f aca="false">IF(F112="","",IF(P112="","Pending",IF(UPPER(TRIM(F112))=UPPER(TRIM(P112)),"OK","MISMATCH")))</f>
        <v/>
      </c>
      <c r="U112" s="19" t="str">
        <f aca="false">IF(F112="","",IF(H112&lt;&gt;"Yes","N/A",IF(Q112="","Pending",IF(UPPER(TRIM(G112))=UPPER(TRIM(Q112)),"OK","MISMATCH"))))</f>
        <v/>
      </c>
      <c r="V112" s="19" t="str">
        <f aca="false">IF(F112="","",IF(L112="Yes","Blocked: hold",IF(AND(T112="OK",OR(U112="OK",U112="N/A"),R112="Yes",S112="Yes"),"Ready","Not ready")))</f>
        <v/>
      </c>
      <c r="W112" s="17"/>
      <c r="X112" s="17"/>
      <c r="Y112" s="17"/>
      <c r="Z112" s="17"/>
      <c r="AA112" s="17"/>
      <c r="AB112" s="17"/>
    </row>
    <row r="113" customFormat="false" ht="15" hidden="false" customHeight="false" outlineLevel="0" collapsed="false">
      <c r="A113" s="19" t="n">
        <v>109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9" t="str">
        <f aca="false">IF(F113="","",IF(P113="","Pending",IF(UPPER(TRIM(F113))=UPPER(TRIM(P113)),"OK","MISMATCH")))</f>
        <v/>
      </c>
      <c r="U113" s="19" t="str">
        <f aca="false">IF(F113="","",IF(H113&lt;&gt;"Yes","N/A",IF(Q113="","Pending",IF(UPPER(TRIM(G113))=UPPER(TRIM(Q113)),"OK","MISMATCH"))))</f>
        <v/>
      </c>
      <c r="V113" s="19" t="str">
        <f aca="false">IF(F113="","",IF(L113="Yes","Blocked: hold",IF(AND(T113="OK",OR(U113="OK",U113="N/A"),R113="Yes",S113="Yes"),"Ready","Not ready")))</f>
        <v/>
      </c>
      <c r="W113" s="17"/>
      <c r="X113" s="17"/>
      <c r="Y113" s="17"/>
      <c r="Z113" s="17"/>
      <c r="AA113" s="17"/>
      <c r="AB113" s="17"/>
    </row>
    <row r="114" customFormat="false" ht="15" hidden="false" customHeight="false" outlineLevel="0" collapsed="false">
      <c r="A114" s="19" t="n">
        <v>110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9" t="str">
        <f aca="false">IF(F114="","",IF(P114="","Pending",IF(UPPER(TRIM(F114))=UPPER(TRIM(P114)),"OK","MISMATCH")))</f>
        <v/>
      </c>
      <c r="U114" s="19" t="str">
        <f aca="false">IF(F114="","",IF(H114&lt;&gt;"Yes","N/A",IF(Q114="","Pending",IF(UPPER(TRIM(G114))=UPPER(TRIM(Q114)),"OK","MISMATCH"))))</f>
        <v/>
      </c>
      <c r="V114" s="19" t="str">
        <f aca="false">IF(F114="","",IF(L114="Yes","Blocked: hold",IF(AND(T114="OK",OR(U114="OK",U114="N/A"),R114="Yes",S114="Yes"),"Ready","Not ready")))</f>
        <v/>
      </c>
      <c r="W114" s="17"/>
      <c r="X114" s="17"/>
      <c r="Y114" s="17"/>
      <c r="Z114" s="17"/>
      <c r="AA114" s="17"/>
      <c r="AB114" s="17"/>
    </row>
    <row r="115" customFormat="false" ht="15" hidden="false" customHeight="false" outlineLevel="0" collapsed="false">
      <c r="A115" s="19" t="n">
        <v>111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9" t="str">
        <f aca="false">IF(F115="","",IF(P115="","Pending",IF(UPPER(TRIM(F115))=UPPER(TRIM(P115)),"OK","MISMATCH")))</f>
        <v/>
      </c>
      <c r="U115" s="19" t="str">
        <f aca="false">IF(F115="","",IF(H115&lt;&gt;"Yes","N/A",IF(Q115="","Pending",IF(UPPER(TRIM(G115))=UPPER(TRIM(Q115)),"OK","MISMATCH"))))</f>
        <v/>
      </c>
      <c r="V115" s="19" t="str">
        <f aca="false">IF(F115="","",IF(L115="Yes","Blocked: hold",IF(AND(T115="OK",OR(U115="OK",U115="N/A"),R115="Yes",S115="Yes"),"Ready","Not ready")))</f>
        <v/>
      </c>
      <c r="W115" s="17"/>
      <c r="X115" s="17"/>
      <c r="Y115" s="17"/>
      <c r="Z115" s="17"/>
      <c r="AA115" s="17"/>
      <c r="AB115" s="17"/>
    </row>
    <row r="116" customFormat="false" ht="15" hidden="false" customHeight="false" outlineLevel="0" collapsed="false">
      <c r="A116" s="19" t="n">
        <v>112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9" t="str">
        <f aca="false">IF(F116="","",IF(P116="","Pending",IF(UPPER(TRIM(F116))=UPPER(TRIM(P116)),"OK","MISMATCH")))</f>
        <v/>
      </c>
      <c r="U116" s="19" t="str">
        <f aca="false">IF(F116="","",IF(H116&lt;&gt;"Yes","N/A",IF(Q116="","Pending",IF(UPPER(TRIM(G116))=UPPER(TRIM(Q116)),"OK","MISMATCH"))))</f>
        <v/>
      </c>
      <c r="V116" s="19" t="str">
        <f aca="false">IF(F116="","",IF(L116="Yes","Blocked: hold",IF(AND(T116="OK",OR(U116="OK",U116="N/A"),R116="Yes",S116="Yes"),"Ready","Not ready")))</f>
        <v/>
      </c>
      <c r="W116" s="17"/>
      <c r="X116" s="17"/>
      <c r="Y116" s="17"/>
      <c r="Z116" s="17"/>
      <c r="AA116" s="17"/>
      <c r="AB116" s="17"/>
    </row>
    <row r="117" customFormat="false" ht="15" hidden="false" customHeight="false" outlineLevel="0" collapsed="false">
      <c r="A117" s="19" t="n">
        <v>113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9" t="str">
        <f aca="false">IF(F117="","",IF(P117="","Pending",IF(UPPER(TRIM(F117))=UPPER(TRIM(P117)),"OK","MISMATCH")))</f>
        <v/>
      </c>
      <c r="U117" s="19" t="str">
        <f aca="false">IF(F117="","",IF(H117&lt;&gt;"Yes","N/A",IF(Q117="","Pending",IF(UPPER(TRIM(G117))=UPPER(TRIM(Q117)),"OK","MISMATCH"))))</f>
        <v/>
      </c>
      <c r="V117" s="19" t="str">
        <f aca="false">IF(F117="","",IF(L117="Yes","Blocked: hold",IF(AND(T117="OK",OR(U117="OK",U117="N/A"),R117="Yes",S117="Yes"),"Ready","Not ready")))</f>
        <v/>
      </c>
      <c r="W117" s="17"/>
      <c r="X117" s="17"/>
      <c r="Y117" s="17"/>
      <c r="Z117" s="17"/>
      <c r="AA117" s="17"/>
      <c r="AB117" s="17"/>
    </row>
    <row r="118" customFormat="false" ht="15" hidden="false" customHeight="false" outlineLevel="0" collapsed="false">
      <c r="A118" s="19" t="n">
        <v>114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9" t="str">
        <f aca="false">IF(F118="","",IF(P118="","Pending",IF(UPPER(TRIM(F118))=UPPER(TRIM(P118)),"OK","MISMATCH")))</f>
        <v/>
      </c>
      <c r="U118" s="19" t="str">
        <f aca="false">IF(F118="","",IF(H118&lt;&gt;"Yes","N/A",IF(Q118="","Pending",IF(UPPER(TRIM(G118))=UPPER(TRIM(Q118)),"OK","MISMATCH"))))</f>
        <v/>
      </c>
      <c r="V118" s="19" t="str">
        <f aca="false">IF(F118="","",IF(L118="Yes","Blocked: hold",IF(AND(T118="OK",OR(U118="OK",U118="N/A"),R118="Yes",S118="Yes"),"Ready","Not ready")))</f>
        <v/>
      </c>
      <c r="W118" s="17"/>
      <c r="X118" s="17"/>
      <c r="Y118" s="17"/>
      <c r="Z118" s="17"/>
      <c r="AA118" s="17"/>
      <c r="AB118" s="17"/>
    </row>
    <row r="119" customFormat="false" ht="15" hidden="false" customHeight="false" outlineLevel="0" collapsed="false">
      <c r="A119" s="19" t="n">
        <v>115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9" t="str">
        <f aca="false">IF(F119="","",IF(P119="","Pending",IF(UPPER(TRIM(F119))=UPPER(TRIM(P119)),"OK","MISMATCH")))</f>
        <v/>
      </c>
      <c r="U119" s="19" t="str">
        <f aca="false">IF(F119="","",IF(H119&lt;&gt;"Yes","N/A",IF(Q119="","Pending",IF(UPPER(TRIM(G119))=UPPER(TRIM(Q119)),"OK","MISMATCH"))))</f>
        <v/>
      </c>
      <c r="V119" s="19" t="str">
        <f aca="false">IF(F119="","",IF(L119="Yes","Blocked: hold",IF(AND(T119="OK",OR(U119="OK",U119="N/A"),R119="Yes",S119="Yes"),"Ready","Not ready")))</f>
        <v/>
      </c>
      <c r="W119" s="17"/>
      <c r="X119" s="17"/>
      <c r="Y119" s="17"/>
      <c r="Z119" s="17"/>
      <c r="AA119" s="17"/>
      <c r="AB119" s="17"/>
    </row>
    <row r="120" customFormat="false" ht="15" hidden="false" customHeight="false" outlineLevel="0" collapsed="false">
      <c r="A120" s="19" t="n">
        <v>116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9" t="str">
        <f aca="false">IF(F120="","",IF(P120="","Pending",IF(UPPER(TRIM(F120))=UPPER(TRIM(P120)),"OK","MISMATCH")))</f>
        <v/>
      </c>
      <c r="U120" s="19" t="str">
        <f aca="false">IF(F120="","",IF(H120&lt;&gt;"Yes","N/A",IF(Q120="","Pending",IF(UPPER(TRIM(G120))=UPPER(TRIM(Q120)),"OK","MISMATCH"))))</f>
        <v/>
      </c>
      <c r="V120" s="19" t="str">
        <f aca="false">IF(F120="","",IF(L120="Yes","Blocked: hold",IF(AND(T120="OK",OR(U120="OK",U120="N/A"),R120="Yes",S120="Yes"),"Ready","Not ready")))</f>
        <v/>
      </c>
      <c r="W120" s="17"/>
      <c r="X120" s="17"/>
      <c r="Y120" s="17"/>
      <c r="Z120" s="17"/>
      <c r="AA120" s="17"/>
      <c r="AB120" s="17"/>
    </row>
    <row r="121" customFormat="false" ht="15" hidden="false" customHeight="false" outlineLevel="0" collapsed="false">
      <c r="A121" s="19" t="n">
        <v>117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9" t="str">
        <f aca="false">IF(F121="","",IF(P121="","Pending",IF(UPPER(TRIM(F121))=UPPER(TRIM(P121)),"OK","MISMATCH")))</f>
        <v/>
      </c>
      <c r="U121" s="19" t="str">
        <f aca="false">IF(F121="","",IF(H121&lt;&gt;"Yes","N/A",IF(Q121="","Pending",IF(UPPER(TRIM(G121))=UPPER(TRIM(Q121)),"OK","MISMATCH"))))</f>
        <v/>
      </c>
      <c r="V121" s="19" t="str">
        <f aca="false">IF(F121="","",IF(L121="Yes","Blocked: hold",IF(AND(T121="OK",OR(U121="OK",U121="N/A"),R121="Yes",S121="Yes"),"Ready","Not ready")))</f>
        <v/>
      </c>
      <c r="W121" s="17"/>
      <c r="X121" s="17"/>
      <c r="Y121" s="17"/>
      <c r="Z121" s="17"/>
      <c r="AA121" s="17"/>
      <c r="AB121" s="17"/>
    </row>
    <row r="122" customFormat="false" ht="15" hidden="false" customHeight="false" outlineLevel="0" collapsed="false">
      <c r="A122" s="19" t="n">
        <v>118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9" t="str">
        <f aca="false">IF(F122="","",IF(P122="","Pending",IF(UPPER(TRIM(F122))=UPPER(TRIM(P122)),"OK","MISMATCH")))</f>
        <v/>
      </c>
      <c r="U122" s="19" t="str">
        <f aca="false">IF(F122="","",IF(H122&lt;&gt;"Yes","N/A",IF(Q122="","Pending",IF(UPPER(TRIM(G122))=UPPER(TRIM(Q122)),"OK","MISMATCH"))))</f>
        <v/>
      </c>
      <c r="V122" s="19" t="str">
        <f aca="false">IF(F122="","",IF(L122="Yes","Blocked: hold",IF(AND(T122="OK",OR(U122="OK",U122="N/A"),R122="Yes",S122="Yes"),"Ready","Not ready")))</f>
        <v/>
      </c>
      <c r="W122" s="17"/>
      <c r="X122" s="17"/>
      <c r="Y122" s="17"/>
      <c r="Z122" s="17"/>
      <c r="AA122" s="17"/>
      <c r="AB122" s="17"/>
    </row>
    <row r="123" customFormat="false" ht="15" hidden="false" customHeight="false" outlineLevel="0" collapsed="false">
      <c r="A123" s="19" t="n">
        <v>119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9" t="str">
        <f aca="false">IF(F123="","",IF(P123="","Pending",IF(UPPER(TRIM(F123))=UPPER(TRIM(P123)),"OK","MISMATCH")))</f>
        <v/>
      </c>
      <c r="U123" s="19" t="str">
        <f aca="false">IF(F123="","",IF(H123&lt;&gt;"Yes","N/A",IF(Q123="","Pending",IF(UPPER(TRIM(G123))=UPPER(TRIM(Q123)),"OK","MISMATCH"))))</f>
        <v/>
      </c>
      <c r="V123" s="19" t="str">
        <f aca="false">IF(F123="","",IF(L123="Yes","Blocked: hold",IF(AND(T123="OK",OR(U123="OK",U123="N/A"),R123="Yes",S123="Yes"),"Ready","Not ready")))</f>
        <v/>
      </c>
      <c r="W123" s="17"/>
      <c r="X123" s="17"/>
      <c r="Y123" s="17"/>
      <c r="Z123" s="17"/>
      <c r="AA123" s="17"/>
      <c r="AB123" s="17"/>
    </row>
    <row r="124" customFormat="false" ht="15" hidden="false" customHeight="false" outlineLevel="0" collapsed="false">
      <c r="A124" s="19" t="n">
        <v>120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9" t="str">
        <f aca="false">IF(F124="","",IF(P124="","Pending",IF(UPPER(TRIM(F124))=UPPER(TRIM(P124)),"OK","MISMATCH")))</f>
        <v/>
      </c>
      <c r="U124" s="19" t="str">
        <f aca="false">IF(F124="","",IF(H124&lt;&gt;"Yes","N/A",IF(Q124="","Pending",IF(UPPER(TRIM(G124))=UPPER(TRIM(Q124)),"OK","MISMATCH"))))</f>
        <v/>
      </c>
      <c r="V124" s="19" t="str">
        <f aca="false">IF(F124="","",IF(L124="Yes","Blocked: hold",IF(AND(T124="OK",OR(U124="OK",U124="N/A"),R124="Yes",S124="Yes"),"Ready","Not ready")))</f>
        <v/>
      </c>
      <c r="W124" s="17"/>
      <c r="X124" s="17"/>
      <c r="Y124" s="17"/>
      <c r="Z124" s="17"/>
      <c r="AA124" s="17"/>
      <c r="AB124" s="17"/>
    </row>
    <row r="125" customFormat="false" ht="15" hidden="false" customHeight="false" outlineLevel="0" collapsed="false">
      <c r="A125" s="19" t="n">
        <v>121</v>
      </c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9" t="str">
        <f aca="false">IF(F125="","",IF(P125="","Pending",IF(UPPER(TRIM(F125))=UPPER(TRIM(P125)),"OK","MISMATCH")))</f>
        <v/>
      </c>
      <c r="U125" s="19" t="str">
        <f aca="false">IF(F125="","",IF(H125&lt;&gt;"Yes","N/A",IF(Q125="","Pending",IF(UPPER(TRIM(G125))=UPPER(TRIM(Q125)),"OK","MISMATCH"))))</f>
        <v/>
      </c>
      <c r="V125" s="19" t="str">
        <f aca="false">IF(F125="","",IF(L125="Yes","Blocked: hold",IF(AND(T125="OK",OR(U125="OK",U125="N/A"),R125="Yes",S125="Yes"),"Ready","Not ready")))</f>
        <v/>
      </c>
      <c r="W125" s="17"/>
      <c r="X125" s="17"/>
      <c r="Y125" s="17"/>
      <c r="Z125" s="17"/>
      <c r="AA125" s="17"/>
      <c r="AB125" s="17"/>
    </row>
    <row r="126" customFormat="false" ht="15" hidden="false" customHeight="false" outlineLevel="0" collapsed="false">
      <c r="A126" s="19" t="n">
        <v>122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9" t="str">
        <f aca="false">IF(F126="","",IF(P126="","Pending",IF(UPPER(TRIM(F126))=UPPER(TRIM(P126)),"OK","MISMATCH")))</f>
        <v/>
      </c>
      <c r="U126" s="19" t="str">
        <f aca="false">IF(F126="","",IF(H126&lt;&gt;"Yes","N/A",IF(Q126="","Pending",IF(UPPER(TRIM(G126))=UPPER(TRIM(Q126)),"OK","MISMATCH"))))</f>
        <v/>
      </c>
      <c r="V126" s="19" t="str">
        <f aca="false">IF(F126="","",IF(L126="Yes","Blocked: hold",IF(AND(T126="OK",OR(U126="OK",U126="N/A"),R126="Yes",S126="Yes"),"Ready","Not ready")))</f>
        <v/>
      </c>
      <c r="W126" s="17"/>
      <c r="X126" s="17"/>
      <c r="Y126" s="17"/>
      <c r="Z126" s="17"/>
      <c r="AA126" s="17"/>
      <c r="AB126" s="17"/>
    </row>
    <row r="127" customFormat="false" ht="15" hidden="false" customHeight="false" outlineLevel="0" collapsed="false">
      <c r="A127" s="19" t="n">
        <v>123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9" t="str">
        <f aca="false">IF(F127="","",IF(P127="","Pending",IF(UPPER(TRIM(F127))=UPPER(TRIM(P127)),"OK","MISMATCH")))</f>
        <v/>
      </c>
      <c r="U127" s="19" t="str">
        <f aca="false">IF(F127="","",IF(H127&lt;&gt;"Yes","N/A",IF(Q127="","Pending",IF(UPPER(TRIM(G127))=UPPER(TRIM(Q127)),"OK","MISMATCH"))))</f>
        <v/>
      </c>
      <c r="V127" s="19" t="str">
        <f aca="false">IF(F127="","",IF(L127="Yes","Blocked: hold",IF(AND(T127="OK",OR(U127="OK",U127="N/A"),R127="Yes",S127="Yes"),"Ready","Not ready")))</f>
        <v/>
      </c>
      <c r="W127" s="17"/>
      <c r="X127" s="17"/>
      <c r="Y127" s="17"/>
      <c r="Z127" s="17"/>
      <c r="AA127" s="17"/>
      <c r="AB127" s="17"/>
    </row>
    <row r="128" customFormat="false" ht="15" hidden="false" customHeight="false" outlineLevel="0" collapsed="false">
      <c r="A128" s="19" t="n">
        <v>124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9" t="str">
        <f aca="false">IF(F128="","",IF(P128="","Pending",IF(UPPER(TRIM(F128))=UPPER(TRIM(P128)),"OK","MISMATCH")))</f>
        <v/>
      </c>
      <c r="U128" s="19" t="str">
        <f aca="false">IF(F128="","",IF(H128&lt;&gt;"Yes","N/A",IF(Q128="","Pending",IF(UPPER(TRIM(G128))=UPPER(TRIM(Q128)),"OK","MISMATCH"))))</f>
        <v/>
      </c>
      <c r="V128" s="19" t="str">
        <f aca="false">IF(F128="","",IF(L128="Yes","Blocked: hold",IF(AND(T128="OK",OR(U128="OK",U128="N/A"),R128="Yes",S128="Yes"),"Ready","Not ready")))</f>
        <v/>
      </c>
      <c r="W128" s="17"/>
      <c r="X128" s="17"/>
      <c r="Y128" s="17"/>
      <c r="Z128" s="17"/>
      <c r="AA128" s="17"/>
      <c r="AB128" s="17"/>
    </row>
    <row r="129" customFormat="false" ht="15" hidden="false" customHeight="false" outlineLevel="0" collapsed="false">
      <c r="A129" s="19" t="n">
        <v>125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9" t="str">
        <f aca="false">IF(F129="","",IF(P129="","Pending",IF(UPPER(TRIM(F129))=UPPER(TRIM(P129)),"OK","MISMATCH")))</f>
        <v/>
      </c>
      <c r="U129" s="19" t="str">
        <f aca="false">IF(F129="","",IF(H129&lt;&gt;"Yes","N/A",IF(Q129="","Pending",IF(UPPER(TRIM(G129))=UPPER(TRIM(Q129)),"OK","MISMATCH"))))</f>
        <v/>
      </c>
      <c r="V129" s="19" t="str">
        <f aca="false">IF(F129="","",IF(L129="Yes","Blocked: hold",IF(AND(T129="OK",OR(U129="OK",U129="N/A"),R129="Yes",S129="Yes"),"Ready","Not ready")))</f>
        <v/>
      </c>
      <c r="W129" s="17"/>
      <c r="X129" s="17"/>
      <c r="Y129" s="17"/>
      <c r="Z129" s="17"/>
      <c r="AA129" s="17"/>
      <c r="AB129" s="17"/>
    </row>
    <row r="130" customFormat="false" ht="15" hidden="false" customHeight="false" outlineLevel="0" collapsed="false">
      <c r="A130" s="19" t="n">
        <v>126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9" t="str">
        <f aca="false">IF(F130="","",IF(P130="","Pending",IF(UPPER(TRIM(F130))=UPPER(TRIM(P130)),"OK","MISMATCH")))</f>
        <v/>
      </c>
      <c r="U130" s="19" t="str">
        <f aca="false">IF(F130="","",IF(H130&lt;&gt;"Yes","N/A",IF(Q130="","Pending",IF(UPPER(TRIM(G130))=UPPER(TRIM(Q130)),"OK","MISMATCH"))))</f>
        <v/>
      </c>
      <c r="V130" s="19" t="str">
        <f aca="false">IF(F130="","",IF(L130="Yes","Blocked: hold",IF(AND(T130="OK",OR(U130="OK",U130="N/A"),R130="Yes",S130="Yes"),"Ready","Not ready")))</f>
        <v/>
      </c>
      <c r="W130" s="17"/>
      <c r="X130" s="17"/>
      <c r="Y130" s="17"/>
      <c r="Z130" s="17"/>
      <c r="AA130" s="17"/>
      <c r="AB130" s="17"/>
    </row>
    <row r="131" customFormat="false" ht="15" hidden="false" customHeight="false" outlineLevel="0" collapsed="false">
      <c r="A131" s="19" t="n">
        <v>127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9" t="str">
        <f aca="false">IF(F131="","",IF(P131="","Pending",IF(UPPER(TRIM(F131))=UPPER(TRIM(P131)),"OK","MISMATCH")))</f>
        <v/>
      </c>
      <c r="U131" s="19" t="str">
        <f aca="false">IF(F131="","",IF(H131&lt;&gt;"Yes","N/A",IF(Q131="","Pending",IF(UPPER(TRIM(G131))=UPPER(TRIM(Q131)),"OK","MISMATCH"))))</f>
        <v/>
      </c>
      <c r="V131" s="19" t="str">
        <f aca="false">IF(F131="","",IF(L131="Yes","Blocked: hold",IF(AND(T131="OK",OR(U131="OK",U131="N/A"),R131="Yes",S131="Yes"),"Ready","Not ready")))</f>
        <v/>
      </c>
      <c r="W131" s="17"/>
      <c r="X131" s="17"/>
      <c r="Y131" s="17"/>
      <c r="Z131" s="17"/>
      <c r="AA131" s="17"/>
      <c r="AB131" s="17"/>
    </row>
    <row r="132" customFormat="false" ht="15" hidden="false" customHeight="false" outlineLevel="0" collapsed="false">
      <c r="A132" s="19" t="n">
        <v>128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9" t="str">
        <f aca="false">IF(F132="","",IF(P132="","Pending",IF(UPPER(TRIM(F132))=UPPER(TRIM(P132)),"OK","MISMATCH")))</f>
        <v/>
      </c>
      <c r="U132" s="19" t="str">
        <f aca="false">IF(F132="","",IF(H132&lt;&gt;"Yes","N/A",IF(Q132="","Pending",IF(UPPER(TRIM(G132))=UPPER(TRIM(Q132)),"OK","MISMATCH"))))</f>
        <v/>
      </c>
      <c r="V132" s="19" t="str">
        <f aca="false">IF(F132="","",IF(L132="Yes","Blocked: hold",IF(AND(T132="OK",OR(U132="OK",U132="N/A"),R132="Yes",S132="Yes"),"Ready","Not ready")))</f>
        <v/>
      </c>
      <c r="W132" s="17"/>
      <c r="X132" s="17"/>
      <c r="Y132" s="17"/>
      <c r="Z132" s="17"/>
      <c r="AA132" s="17"/>
      <c r="AB132" s="17"/>
    </row>
    <row r="133" customFormat="false" ht="15" hidden="false" customHeight="false" outlineLevel="0" collapsed="false">
      <c r="A133" s="19" t="n">
        <v>129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9" t="str">
        <f aca="false">IF(F133="","",IF(P133="","Pending",IF(UPPER(TRIM(F133))=UPPER(TRIM(P133)),"OK","MISMATCH")))</f>
        <v/>
      </c>
      <c r="U133" s="19" t="str">
        <f aca="false">IF(F133="","",IF(H133&lt;&gt;"Yes","N/A",IF(Q133="","Pending",IF(UPPER(TRIM(G133))=UPPER(TRIM(Q133)),"OK","MISMATCH"))))</f>
        <v/>
      </c>
      <c r="V133" s="19" t="str">
        <f aca="false">IF(F133="","",IF(L133="Yes","Blocked: hold",IF(AND(T133="OK",OR(U133="OK",U133="N/A"),R133="Yes",S133="Yes"),"Ready","Not ready")))</f>
        <v/>
      </c>
      <c r="W133" s="17"/>
      <c r="X133" s="17"/>
      <c r="Y133" s="17"/>
      <c r="Z133" s="17"/>
      <c r="AA133" s="17"/>
      <c r="AB133" s="17"/>
    </row>
    <row r="134" customFormat="false" ht="15" hidden="false" customHeight="false" outlineLevel="0" collapsed="false">
      <c r="A134" s="19" t="n">
        <v>130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9" t="str">
        <f aca="false">IF(F134="","",IF(P134="","Pending",IF(UPPER(TRIM(F134))=UPPER(TRIM(P134)),"OK","MISMATCH")))</f>
        <v/>
      </c>
      <c r="U134" s="19" t="str">
        <f aca="false">IF(F134="","",IF(H134&lt;&gt;"Yes","N/A",IF(Q134="","Pending",IF(UPPER(TRIM(G134))=UPPER(TRIM(Q134)),"OK","MISMATCH"))))</f>
        <v/>
      </c>
      <c r="V134" s="19" t="str">
        <f aca="false">IF(F134="","",IF(L134="Yes","Blocked: hold",IF(AND(T134="OK",OR(U134="OK",U134="N/A"),R134="Yes",S134="Yes"),"Ready","Not ready")))</f>
        <v/>
      </c>
      <c r="W134" s="17"/>
      <c r="X134" s="17"/>
      <c r="Y134" s="17"/>
      <c r="Z134" s="17"/>
      <c r="AA134" s="17"/>
      <c r="AB134" s="17"/>
    </row>
    <row r="135" customFormat="false" ht="15" hidden="false" customHeight="false" outlineLevel="0" collapsed="false">
      <c r="A135" s="19" t="n">
        <v>131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9" t="str">
        <f aca="false">IF(F135="","",IF(P135="","Pending",IF(UPPER(TRIM(F135))=UPPER(TRIM(P135)),"OK","MISMATCH")))</f>
        <v/>
      </c>
      <c r="U135" s="19" t="str">
        <f aca="false">IF(F135="","",IF(H135&lt;&gt;"Yes","N/A",IF(Q135="","Pending",IF(UPPER(TRIM(G135))=UPPER(TRIM(Q135)),"OK","MISMATCH"))))</f>
        <v/>
      </c>
      <c r="V135" s="19" t="str">
        <f aca="false">IF(F135="","",IF(L135="Yes","Blocked: hold",IF(AND(T135="OK",OR(U135="OK",U135="N/A"),R135="Yes",S135="Yes"),"Ready","Not ready")))</f>
        <v/>
      </c>
      <c r="W135" s="17"/>
      <c r="X135" s="17"/>
      <c r="Y135" s="17"/>
      <c r="Z135" s="17"/>
      <c r="AA135" s="17"/>
      <c r="AB135" s="17"/>
    </row>
    <row r="136" customFormat="false" ht="15" hidden="false" customHeight="false" outlineLevel="0" collapsed="false">
      <c r="A136" s="19" t="n">
        <v>132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9" t="str">
        <f aca="false">IF(F136="","",IF(P136="","Pending",IF(UPPER(TRIM(F136))=UPPER(TRIM(P136)),"OK","MISMATCH")))</f>
        <v/>
      </c>
      <c r="U136" s="19" t="str">
        <f aca="false">IF(F136="","",IF(H136&lt;&gt;"Yes","N/A",IF(Q136="","Pending",IF(UPPER(TRIM(G136))=UPPER(TRIM(Q136)),"OK","MISMATCH"))))</f>
        <v/>
      </c>
      <c r="V136" s="19" t="str">
        <f aca="false">IF(F136="","",IF(L136="Yes","Blocked: hold",IF(AND(T136="OK",OR(U136="OK",U136="N/A"),R136="Yes",S136="Yes"),"Ready","Not ready")))</f>
        <v/>
      </c>
      <c r="W136" s="17"/>
      <c r="X136" s="17"/>
      <c r="Y136" s="17"/>
      <c r="Z136" s="17"/>
      <c r="AA136" s="17"/>
      <c r="AB136" s="17"/>
    </row>
    <row r="137" customFormat="false" ht="15" hidden="false" customHeight="false" outlineLevel="0" collapsed="false">
      <c r="A137" s="19" t="n">
        <v>133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9" t="str">
        <f aca="false">IF(F137="","",IF(P137="","Pending",IF(UPPER(TRIM(F137))=UPPER(TRIM(P137)),"OK","MISMATCH")))</f>
        <v/>
      </c>
      <c r="U137" s="19" t="str">
        <f aca="false">IF(F137="","",IF(H137&lt;&gt;"Yes","N/A",IF(Q137="","Pending",IF(UPPER(TRIM(G137))=UPPER(TRIM(Q137)),"OK","MISMATCH"))))</f>
        <v/>
      </c>
      <c r="V137" s="19" t="str">
        <f aca="false">IF(F137="","",IF(L137="Yes","Blocked: hold",IF(AND(T137="OK",OR(U137="OK",U137="N/A"),R137="Yes",S137="Yes"),"Ready","Not ready")))</f>
        <v/>
      </c>
      <c r="W137" s="17"/>
      <c r="X137" s="17"/>
      <c r="Y137" s="17"/>
      <c r="Z137" s="17"/>
      <c r="AA137" s="17"/>
      <c r="AB137" s="17"/>
    </row>
    <row r="138" customFormat="false" ht="15" hidden="false" customHeight="false" outlineLevel="0" collapsed="false">
      <c r="A138" s="19" t="n">
        <v>134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9" t="str">
        <f aca="false">IF(F138="","",IF(P138="","Pending",IF(UPPER(TRIM(F138))=UPPER(TRIM(P138)),"OK","MISMATCH")))</f>
        <v/>
      </c>
      <c r="U138" s="19" t="str">
        <f aca="false">IF(F138="","",IF(H138&lt;&gt;"Yes","N/A",IF(Q138="","Pending",IF(UPPER(TRIM(G138))=UPPER(TRIM(Q138)),"OK","MISMATCH"))))</f>
        <v/>
      </c>
      <c r="V138" s="19" t="str">
        <f aca="false">IF(F138="","",IF(L138="Yes","Blocked: hold",IF(AND(T138="OK",OR(U138="OK",U138="N/A"),R138="Yes",S138="Yes"),"Ready","Not ready")))</f>
        <v/>
      </c>
      <c r="W138" s="17"/>
      <c r="X138" s="17"/>
      <c r="Y138" s="17"/>
      <c r="Z138" s="17"/>
      <c r="AA138" s="17"/>
      <c r="AB138" s="17"/>
    </row>
    <row r="139" customFormat="false" ht="15" hidden="false" customHeight="false" outlineLevel="0" collapsed="false">
      <c r="A139" s="19" t="n">
        <v>135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9" t="str">
        <f aca="false">IF(F139="","",IF(P139="","Pending",IF(UPPER(TRIM(F139))=UPPER(TRIM(P139)),"OK","MISMATCH")))</f>
        <v/>
      </c>
      <c r="U139" s="19" t="str">
        <f aca="false">IF(F139="","",IF(H139&lt;&gt;"Yes","N/A",IF(Q139="","Pending",IF(UPPER(TRIM(G139))=UPPER(TRIM(Q139)),"OK","MISMATCH"))))</f>
        <v/>
      </c>
      <c r="V139" s="19" t="str">
        <f aca="false">IF(F139="","",IF(L139="Yes","Blocked: hold",IF(AND(T139="OK",OR(U139="OK",U139="N/A"),R139="Yes",S139="Yes"),"Ready","Not ready")))</f>
        <v/>
      </c>
      <c r="W139" s="17"/>
      <c r="X139" s="17"/>
      <c r="Y139" s="17"/>
      <c r="Z139" s="17"/>
      <c r="AA139" s="17"/>
      <c r="AB139" s="17"/>
    </row>
    <row r="140" customFormat="false" ht="15" hidden="false" customHeight="false" outlineLevel="0" collapsed="false">
      <c r="A140" s="19" t="n">
        <v>136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9" t="str">
        <f aca="false">IF(F140="","",IF(P140="","Pending",IF(UPPER(TRIM(F140))=UPPER(TRIM(P140)),"OK","MISMATCH")))</f>
        <v/>
      </c>
      <c r="U140" s="19" t="str">
        <f aca="false">IF(F140="","",IF(H140&lt;&gt;"Yes","N/A",IF(Q140="","Pending",IF(UPPER(TRIM(G140))=UPPER(TRIM(Q140)),"OK","MISMATCH"))))</f>
        <v/>
      </c>
      <c r="V140" s="19" t="str">
        <f aca="false">IF(F140="","",IF(L140="Yes","Blocked: hold",IF(AND(T140="OK",OR(U140="OK",U140="N/A"),R140="Yes",S140="Yes"),"Ready","Not ready")))</f>
        <v/>
      </c>
      <c r="W140" s="17"/>
      <c r="X140" s="17"/>
      <c r="Y140" s="17"/>
      <c r="Z140" s="17"/>
      <c r="AA140" s="17"/>
      <c r="AB140" s="17"/>
    </row>
    <row r="141" customFormat="false" ht="15" hidden="false" customHeight="false" outlineLevel="0" collapsed="false">
      <c r="A141" s="19" t="n">
        <v>137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9" t="str">
        <f aca="false">IF(F141="","",IF(P141="","Pending",IF(UPPER(TRIM(F141))=UPPER(TRIM(P141)),"OK","MISMATCH")))</f>
        <v/>
      </c>
      <c r="U141" s="19" t="str">
        <f aca="false">IF(F141="","",IF(H141&lt;&gt;"Yes","N/A",IF(Q141="","Pending",IF(UPPER(TRIM(G141))=UPPER(TRIM(Q141)),"OK","MISMATCH"))))</f>
        <v/>
      </c>
      <c r="V141" s="19" t="str">
        <f aca="false">IF(F141="","",IF(L141="Yes","Blocked: hold",IF(AND(T141="OK",OR(U141="OK",U141="N/A"),R141="Yes",S141="Yes"),"Ready","Not ready")))</f>
        <v/>
      </c>
      <c r="W141" s="17"/>
      <c r="X141" s="17"/>
      <c r="Y141" s="17"/>
      <c r="Z141" s="17"/>
      <c r="AA141" s="17"/>
      <c r="AB141" s="17"/>
    </row>
    <row r="142" customFormat="false" ht="15" hidden="false" customHeight="false" outlineLevel="0" collapsed="false">
      <c r="A142" s="19" t="n">
        <v>138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9" t="str">
        <f aca="false">IF(F142="","",IF(P142="","Pending",IF(UPPER(TRIM(F142))=UPPER(TRIM(P142)),"OK","MISMATCH")))</f>
        <v/>
      </c>
      <c r="U142" s="19" t="str">
        <f aca="false">IF(F142="","",IF(H142&lt;&gt;"Yes","N/A",IF(Q142="","Pending",IF(UPPER(TRIM(G142))=UPPER(TRIM(Q142)),"OK","MISMATCH"))))</f>
        <v/>
      </c>
      <c r="V142" s="19" t="str">
        <f aca="false">IF(F142="","",IF(L142="Yes","Blocked: hold",IF(AND(T142="OK",OR(U142="OK",U142="N/A"),R142="Yes",S142="Yes"),"Ready","Not ready")))</f>
        <v/>
      </c>
      <c r="W142" s="17"/>
      <c r="X142" s="17"/>
      <c r="Y142" s="17"/>
      <c r="Z142" s="17"/>
      <c r="AA142" s="17"/>
      <c r="AB142" s="17"/>
    </row>
    <row r="143" customFormat="false" ht="15" hidden="false" customHeight="false" outlineLevel="0" collapsed="false">
      <c r="A143" s="19" t="n">
        <v>139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9" t="str">
        <f aca="false">IF(F143="","",IF(P143="","Pending",IF(UPPER(TRIM(F143))=UPPER(TRIM(P143)),"OK","MISMATCH")))</f>
        <v/>
      </c>
      <c r="U143" s="19" t="str">
        <f aca="false">IF(F143="","",IF(H143&lt;&gt;"Yes","N/A",IF(Q143="","Pending",IF(UPPER(TRIM(G143))=UPPER(TRIM(Q143)),"OK","MISMATCH"))))</f>
        <v/>
      </c>
      <c r="V143" s="19" t="str">
        <f aca="false">IF(F143="","",IF(L143="Yes","Blocked: hold",IF(AND(T143="OK",OR(U143="OK",U143="N/A"),R143="Yes",S143="Yes"),"Ready","Not ready")))</f>
        <v/>
      </c>
      <c r="W143" s="17"/>
      <c r="X143" s="17"/>
      <c r="Y143" s="17"/>
      <c r="Z143" s="17"/>
      <c r="AA143" s="17"/>
      <c r="AB143" s="17"/>
    </row>
    <row r="144" customFormat="false" ht="15" hidden="false" customHeight="false" outlineLevel="0" collapsed="false">
      <c r="A144" s="19" t="n">
        <v>140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9" t="str">
        <f aca="false">IF(F144="","",IF(P144="","Pending",IF(UPPER(TRIM(F144))=UPPER(TRIM(P144)),"OK","MISMATCH")))</f>
        <v/>
      </c>
      <c r="U144" s="19" t="str">
        <f aca="false">IF(F144="","",IF(H144&lt;&gt;"Yes","N/A",IF(Q144="","Pending",IF(UPPER(TRIM(G144))=UPPER(TRIM(Q144)),"OK","MISMATCH"))))</f>
        <v/>
      </c>
      <c r="V144" s="19" t="str">
        <f aca="false">IF(F144="","",IF(L144="Yes","Blocked: hold",IF(AND(T144="OK",OR(U144="OK",U144="N/A"),R144="Yes",S144="Yes"),"Ready","Not ready")))</f>
        <v/>
      </c>
      <c r="W144" s="17"/>
      <c r="X144" s="17"/>
      <c r="Y144" s="17"/>
      <c r="Z144" s="17"/>
      <c r="AA144" s="17"/>
      <c r="AB144" s="17"/>
    </row>
    <row r="145" customFormat="false" ht="15" hidden="false" customHeight="false" outlineLevel="0" collapsed="false">
      <c r="A145" s="19" t="n">
        <v>141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9" t="str">
        <f aca="false">IF(F145="","",IF(P145="","Pending",IF(UPPER(TRIM(F145))=UPPER(TRIM(P145)),"OK","MISMATCH")))</f>
        <v/>
      </c>
      <c r="U145" s="19" t="str">
        <f aca="false">IF(F145="","",IF(H145&lt;&gt;"Yes","N/A",IF(Q145="","Pending",IF(UPPER(TRIM(G145))=UPPER(TRIM(Q145)),"OK","MISMATCH"))))</f>
        <v/>
      </c>
      <c r="V145" s="19" t="str">
        <f aca="false">IF(F145="","",IF(L145="Yes","Blocked: hold",IF(AND(T145="OK",OR(U145="OK",U145="N/A"),R145="Yes",S145="Yes"),"Ready","Not ready")))</f>
        <v/>
      </c>
      <c r="W145" s="17"/>
      <c r="X145" s="17"/>
      <c r="Y145" s="17"/>
      <c r="Z145" s="17"/>
      <c r="AA145" s="17"/>
      <c r="AB145" s="17"/>
    </row>
    <row r="146" customFormat="false" ht="15" hidden="false" customHeight="false" outlineLevel="0" collapsed="false">
      <c r="A146" s="19" t="n">
        <v>142</v>
      </c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9" t="str">
        <f aca="false">IF(F146="","",IF(P146="","Pending",IF(UPPER(TRIM(F146))=UPPER(TRIM(P146)),"OK","MISMATCH")))</f>
        <v/>
      </c>
      <c r="U146" s="19" t="str">
        <f aca="false">IF(F146="","",IF(H146&lt;&gt;"Yes","N/A",IF(Q146="","Pending",IF(UPPER(TRIM(G146))=UPPER(TRIM(Q146)),"OK","MISMATCH"))))</f>
        <v/>
      </c>
      <c r="V146" s="19" t="str">
        <f aca="false">IF(F146="","",IF(L146="Yes","Blocked: hold",IF(AND(T146="OK",OR(U146="OK",U146="N/A"),R146="Yes",S146="Yes"),"Ready","Not ready")))</f>
        <v/>
      </c>
      <c r="W146" s="17"/>
      <c r="X146" s="17"/>
      <c r="Y146" s="17"/>
      <c r="Z146" s="17"/>
      <c r="AA146" s="17"/>
      <c r="AB146" s="17"/>
    </row>
    <row r="147" customFormat="false" ht="15" hidden="false" customHeight="false" outlineLevel="0" collapsed="false">
      <c r="A147" s="19" t="n">
        <v>143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9" t="str">
        <f aca="false">IF(F147="","",IF(P147="","Pending",IF(UPPER(TRIM(F147))=UPPER(TRIM(P147)),"OK","MISMATCH")))</f>
        <v/>
      </c>
      <c r="U147" s="19" t="str">
        <f aca="false">IF(F147="","",IF(H147&lt;&gt;"Yes","N/A",IF(Q147="","Pending",IF(UPPER(TRIM(G147))=UPPER(TRIM(Q147)),"OK","MISMATCH"))))</f>
        <v/>
      </c>
      <c r="V147" s="19" t="str">
        <f aca="false">IF(F147="","",IF(L147="Yes","Blocked: hold",IF(AND(T147="OK",OR(U147="OK",U147="N/A"),R147="Yes",S147="Yes"),"Ready","Not ready")))</f>
        <v/>
      </c>
      <c r="W147" s="17"/>
      <c r="X147" s="17"/>
      <c r="Y147" s="17"/>
      <c r="Z147" s="17"/>
      <c r="AA147" s="17"/>
      <c r="AB147" s="17"/>
    </row>
    <row r="148" customFormat="false" ht="15" hidden="false" customHeight="false" outlineLevel="0" collapsed="false">
      <c r="A148" s="19" t="n">
        <v>144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9" t="str">
        <f aca="false">IF(F148="","",IF(P148="","Pending",IF(UPPER(TRIM(F148))=UPPER(TRIM(P148)),"OK","MISMATCH")))</f>
        <v/>
      </c>
      <c r="U148" s="19" t="str">
        <f aca="false">IF(F148="","",IF(H148&lt;&gt;"Yes","N/A",IF(Q148="","Pending",IF(UPPER(TRIM(G148))=UPPER(TRIM(Q148)),"OK","MISMATCH"))))</f>
        <v/>
      </c>
      <c r="V148" s="19" t="str">
        <f aca="false">IF(F148="","",IF(L148="Yes","Blocked: hold",IF(AND(T148="OK",OR(U148="OK",U148="N/A"),R148="Yes",S148="Yes"),"Ready","Not ready")))</f>
        <v/>
      </c>
      <c r="W148" s="17"/>
      <c r="X148" s="17"/>
      <c r="Y148" s="17"/>
      <c r="Z148" s="17"/>
      <c r="AA148" s="17"/>
      <c r="AB148" s="17"/>
    </row>
    <row r="149" customFormat="false" ht="15" hidden="false" customHeight="false" outlineLevel="0" collapsed="false">
      <c r="A149" s="19" t="n">
        <v>145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9" t="str">
        <f aca="false">IF(F149="","",IF(P149="","Pending",IF(UPPER(TRIM(F149))=UPPER(TRIM(P149)),"OK","MISMATCH")))</f>
        <v/>
      </c>
      <c r="U149" s="19" t="str">
        <f aca="false">IF(F149="","",IF(H149&lt;&gt;"Yes","N/A",IF(Q149="","Pending",IF(UPPER(TRIM(G149))=UPPER(TRIM(Q149)),"OK","MISMATCH"))))</f>
        <v/>
      </c>
      <c r="V149" s="19" t="str">
        <f aca="false">IF(F149="","",IF(L149="Yes","Blocked: hold",IF(AND(T149="OK",OR(U149="OK",U149="N/A"),R149="Yes",S149="Yes"),"Ready","Not ready")))</f>
        <v/>
      </c>
      <c r="W149" s="17"/>
      <c r="X149" s="17"/>
      <c r="Y149" s="17"/>
      <c r="Z149" s="17"/>
      <c r="AA149" s="17"/>
      <c r="AB149" s="17"/>
    </row>
    <row r="150" customFormat="false" ht="15" hidden="false" customHeight="false" outlineLevel="0" collapsed="false">
      <c r="A150" s="19" t="n">
        <v>146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9" t="str">
        <f aca="false">IF(F150="","",IF(P150="","Pending",IF(UPPER(TRIM(F150))=UPPER(TRIM(P150)),"OK","MISMATCH")))</f>
        <v/>
      </c>
      <c r="U150" s="19" t="str">
        <f aca="false">IF(F150="","",IF(H150&lt;&gt;"Yes","N/A",IF(Q150="","Pending",IF(UPPER(TRIM(G150))=UPPER(TRIM(Q150)),"OK","MISMATCH"))))</f>
        <v/>
      </c>
      <c r="V150" s="19" t="str">
        <f aca="false">IF(F150="","",IF(L150="Yes","Blocked: hold",IF(AND(T150="OK",OR(U150="OK",U150="N/A"),R150="Yes",S150="Yes"),"Ready","Not ready")))</f>
        <v/>
      </c>
      <c r="W150" s="17"/>
      <c r="X150" s="17"/>
      <c r="Y150" s="17"/>
      <c r="Z150" s="17"/>
      <c r="AA150" s="17"/>
      <c r="AB150" s="17"/>
    </row>
    <row r="151" customFormat="false" ht="15" hidden="false" customHeight="false" outlineLevel="0" collapsed="false">
      <c r="A151" s="19" t="n">
        <v>147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9" t="str">
        <f aca="false">IF(F151="","",IF(P151="","Pending",IF(UPPER(TRIM(F151))=UPPER(TRIM(P151)),"OK","MISMATCH")))</f>
        <v/>
      </c>
      <c r="U151" s="19" t="str">
        <f aca="false">IF(F151="","",IF(H151&lt;&gt;"Yes","N/A",IF(Q151="","Pending",IF(UPPER(TRIM(G151))=UPPER(TRIM(Q151)),"OK","MISMATCH"))))</f>
        <v/>
      </c>
      <c r="V151" s="19" t="str">
        <f aca="false">IF(F151="","",IF(L151="Yes","Blocked: hold",IF(AND(T151="OK",OR(U151="OK",U151="N/A"),R151="Yes",S151="Yes"),"Ready","Not ready")))</f>
        <v/>
      </c>
      <c r="W151" s="17"/>
      <c r="X151" s="17"/>
      <c r="Y151" s="17"/>
      <c r="Z151" s="17"/>
      <c r="AA151" s="17"/>
      <c r="AB151" s="17"/>
    </row>
    <row r="152" customFormat="false" ht="15" hidden="false" customHeight="false" outlineLevel="0" collapsed="false">
      <c r="A152" s="19" t="n">
        <v>148</v>
      </c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9" t="str">
        <f aca="false">IF(F152="","",IF(P152="","Pending",IF(UPPER(TRIM(F152))=UPPER(TRIM(P152)),"OK","MISMATCH")))</f>
        <v/>
      </c>
      <c r="U152" s="19" t="str">
        <f aca="false">IF(F152="","",IF(H152&lt;&gt;"Yes","N/A",IF(Q152="","Pending",IF(UPPER(TRIM(G152))=UPPER(TRIM(Q152)),"OK","MISMATCH"))))</f>
        <v/>
      </c>
      <c r="V152" s="19" t="str">
        <f aca="false">IF(F152="","",IF(L152="Yes","Blocked: hold",IF(AND(T152="OK",OR(U152="OK",U152="N/A"),R152="Yes",S152="Yes"),"Ready","Not ready")))</f>
        <v/>
      </c>
      <c r="W152" s="17"/>
      <c r="X152" s="17"/>
      <c r="Y152" s="17"/>
      <c r="Z152" s="17"/>
      <c r="AA152" s="17"/>
      <c r="AB152" s="17"/>
    </row>
    <row r="153" customFormat="false" ht="15" hidden="false" customHeight="false" outlineLevel="0" collapsed="false">
      <c r="A153" s="19" t="n">
        <v>149</v>
      </c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9" t="str">
        <f aca="false">IF(F153="","",IF(P153="","Pending",IF(UPPER(TRIM(F153))=UPPER(TRIM(P153)),"OK","MISMATCH")))</f>
        <v/>
      </c>
      <c r="U153" s="19" t="str">
        <f aca="false">IF(F153="","",IF(H153&lt;&gt;"Yes","N/A",IF(Q153="","Pending",IF(UPPER(TRIM(G153))=UPPER(TRIM(Q153)),"OK","MISMATCH"))))</f>
        <v/>
      </c>
      <c r="V153" s="19" t="str">
        <f aca="false">IF(F153="","",IF(L153="Yes","Blocked: hold",IF(AND(T153="OK",OR(U153="OK",U153="N/A"),R153="Yes",S153="Yes"),"Ready","Not ready")))</f>
        <v/>
      </c>
      <c r="W153" s="17"/>
      <c r="X153" s="17"/>
      <c r="Y153" s="17"/>
      <c r="Z153" s="17"/>
      <c r="AA153" s="17"/>
      <c r="AB153" s="17"/>
    </row>
    <row r="154" customFormat="false" ht="15" hidden="false" customHeight="false" outlineLevel="0" collapsed="false">
      <c r="A154" s="19" t="n">
        <v>150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9" t="str">
        <f aca="false">IF(F154="","",IF(P154="","Pending",IF(UPPER(TRIM(F154))=UPPER(TRIM(P154)),"OK","MISMATCH")))</f>
        <v/>
      </c>
      <c r="U154" s="19" t="str">
        <f aca="false">IF(F154="","",IF(H154&lt;&gt;"Yes","N/A",IF(Q154="","Pending",IF(UPPER(TRIM(G154))=UPPER(TRIM(Q154)),"OK","MISMATCH"))))</f>
        <v/>
      </c>
      <c r="V154" s="19" t="str">
        <f aca="false">IF(F154="","",IF(L154="Yes","Blocked: hold",IF(AND(T154="OK",OR(U154="OK",U154="N/A"),R154="Yes",S154="Yes"),"Ready","Not ready")))</f>
        <v/>
      </c>
      <c r="W154" s="17"/>
      <c r="X154" s="17"/>
      <c r="Y154" s="17"/>
      <c r="Z154" s="17"/>
      <c r="AA154" s="17"/>
      <c r="AB154" s="17"/>
    </row>
    <row r="155" customFormat="false" ht="15" hidden="false" customHeight="false" outlineLevel="0" collapsed="false">
      <c r="A155" s="19" t="n">
        <v>151</v>
      </c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9" t="str">
        <f aca="false">IF(F155="","",IF(P155="","Pending",IF(UPPER(TRIM(F155))=UPPER(TRIM(P155)),"OK","MISMATCH")))</f>
        <v/>
      </c>
      <c r="U155" s="19" t="str">
        <f aca="false">IF(F155="","",IF(H155&lt;&gt;"Yes","N/A",IF(Q155="","Pending",IF(UPPER(TRIM(G155))=UPPER(TRIM(Q155)),"OK","MISMATCH"))))</f>
        <v/>
      </c>
      <c r="V155" s="19" t="str">
        <f aca="false">IF(F155="","",IF(L155="Yes","Blocked: hold",IF(AND(T155="OK",OR(U155="OK",U155="N/A"),R155="Yes",S155="Yes"),"Ready","Not ready")))</f>
        <v/>
      </c>
      <c r="W155" s="17"/>
      <c r="X155" s="17"/>
      <c r="Y155" s="17"/>
      <c r="Z155" s="17"/>
      <c r="AA155" s="17"/>
      <c r="AB155" s="17"/>
    </row>
    <row r="156" customFormat="false" ht="15" hidden="false" customHeight="false" outlineLevel="0" collapsed="false">
      <c r="A156" s="19" t="n">
        <v>152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9" t="str">
        <f aca="false">IF(F156="","",IF(P156="","Pending",IF(UPPER(TRIM(F156))=UPPER(TRIM(P156)),"OK","MISMATCH")))</f>
        <v/>
      </c>
      <c r="U156" s="19" t="str">
        <f aca="false">IF(F156="","",IF(H156&lt;&gt;"Yes","N/A",IF(Q156="","Pending",IF(UPPER(TRIM(G156))=UPPER(TRIM(Q156)),"OK","MISMATCH"))))</f>
        <v/>
      </c>
      <c r="V156" s="19" t="str">
        <f aca="false">IF(F156="","",IF(L156="Yes","Blocked: hold",IF(AND(T156="OK",OR(U156="OK",U156="N/A"),R156="Yes",S156="Yes"),"Ready","Not ready")))</f>
        <v/>
      </c>
      <c r="W156" s="17"/>
      <c r="X156" s="17"/>
      <c r="Y156" s="17"/>
      <c r="Z156" s="17"/>
      <c r="AA156" s="17"/>
      <c r="AB156" s="17"/>
    </row>
    <row r="157" customFormat="false" ht="15" hidden="false" customHeight="false" outlineLevel="0" collapsed="false">
      <c r="A157" s="19" t="n">
        <v>153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9" t="str">
        <f aca="false">IF(F157="","",IF(P157="","Pending",IF(UPPER(TRIM(F157))=UPPER(TRIM(P157)),"OK","MISMATCH")))</f>
        <v/>
      </c>
      <c r="U157" s="19" t="str">
        <f aca="false">IF(F157="","",IF(H157&lt;&gt;"Yes","N/A",IF(Q157="","Pending",IF(UPPER(TRIM(G157))=UPPER(TRIM(Q157)),"OK","MISMATCH"))))</f>
        <v/>
      </c>
      <c r="V157" s="19" t="str">
        <f aca="false">IF(F157="","",IF(L157="Yes","Blocked: hold",IF(AND(T157="OK",OR(U157="OK",U157="N/A"),R157="Yes",S157="Yes"),"Ready","Not ready")))</f>
        <v/>
      </c>
      <c r="W157" s="17"/>
      <c r="X157" s="17"/>
      <c r="Y157" s="17"/>
      <c r="Z157" s="17"/>
      <c r="AA157" s="17"/>
      <c r="AB157" s="17"/>
    </row>
    <row r="158" customFormat="false" ht="15" hidden="false" customHeight="false" outlineLevel="0" collapsed="false">
      <c r="A158" s="19" t="n">
        <v>154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9" t="str">
        <f aca="false">IF(F158="","",IF(P158="","Pending",IF(UPPER(TRIM(F158))=UPPER(TRIM(P158)),"OK","MISMATCH")))</f>
        <v/>
      </c>
      <c r="U158" s="19" t="str">
        <f aca="false">IF(F158="","",IF(H158&lt;&gt;"Yes","N/A",IF(Q158="","Pending",IF(UPPER(TRIM(G158))=UPPER(TRIM(Q158)),"OK","MISMATCH"))))</f>
        <v/>
      </c>
      <c r="V158" s="19" t="str">
        <f aca="false">IF(F158="","",IF(L158="Yes","Blocked: hold",IF(AND(T158="OK",OR(U158="OK",U158="N/A"),R158="Yes",S158="Yes"),"Ready","Not ready")))</f>
        <v/>
      </c>
      <c r="W158" s="17"/>
      <c r="X158" s="17"/>
      <c r="Y158" s="17"/>
      <c r="Z158" s="17"/>
      <c r="AA158" s="17"/>
      <c r="AB158" s="17"/>
    </row>
    <row r="159" customFormat="false" ht="15" hidden="false" customHeight="false" outlineLevel="0" collapsed="false">
      <c r="A159" s="19" t="n">
        <v>155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9" t="str">
        <f aca="false">IF(F159="","",IF(P159="","Pending",IF(UPPER(TRIM(F159))=UPPER(TRIM(P159)),"OK","MISMATCH")))</f>
        <v/>
      </c>
      <c r="U159" s="19" t="str">
        <f aca="false">IF(F159="","",IF(H159&lt;&gt;"Yes","N/A",IF(Q159="","Pending",IF(UPPER(TRIM(G159))=UPPER(TRIM(Q159)),"OK","MISMATCH"))))</f>
        <v/>
      </c>
      <c r="V159" s="19" t="str">
        <f aca="false">IF(F159="","",IF(L159="Yes","Blocked: hold",IF(AND(T159="OK",OR(U159="OK",U159="N/A"),R159="Yes",S159="Yes"),"Ready","Not ready")))</f>
        <v/>
      </c>
      <c r="W159" s="17"/>
      <c r="X159" s="17"/>
      <c r="Y159" s="17"/>
      <c r="Z159" s="17"/>
      <c r="AA159" s="17"/>
      <c r="AB159" s="17"/>
    </row>
    <row r="160" customFormat="false" ht="15" hidden="false" customHeight="false" outlineLevel="0" collapsed="false">
      <c r="A160" s="19" t="n">
        <v>156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9" t="str">
        <f aca="false">IF(F160="","",IF(P160="","Pending",IF(UPPER(TRIM(F160))=UPPER(TRIM(P160)),"OK","MISMATCH")))</f>
        <v/>
      </c>
      <c r="U160" s="19" t="str">
        <f aca="false">IF(F160="","",IF(H160&lt;&gt;"Yes","N/A",IF(Q160="","Pending",IF(UPPER(TRIM(G160))=UPPER(TRIM(Q160)),"OK","MISMATCH"))))</f>
        <v/>
      </c>
      <c r="V160" s="19" t="str">
        <f aca="false">IF(F160="","",IF(L160="Yes","Blocked: hold",IF(AND(T160="OK",OR(U160="OK",U160="N/A"),R160="Yes",S160="Yes"),"Ready","Not ready")))</f>
        <v/>
      </c>
      <c r="W160" s="17"/>
      <c r="X160" s="17"/>
      <c r="Y160" s="17"/>
      <c r="Z160" s="17"/>
      <c r="AA160" s="17"/>
      <c r="AB160" s="17"/>
    </row>
    <row r="161" customFormat="false" ht="15" hidden="false" customHeight="false" outlineLevel="0" collapsed="false">
      <c r="A161" s="19" t="n">
        <v>157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9" t="str">
        <f aca="false">IF(F161="","",IF(P161="","Pending",IF(UPPER(TRIM(F161))=UPPER(TRIM(P161)),"OK","MISMATCH")))</f>
        <v/>
      </c>
      <c r="U161" s="19" t="str">
        <f aca="false">IF(F161="","",IF(H161&lt;&gt;"Yes","N/A",IF(Q161="","Pending",IF(UPPER(TRIM(G161))=UPPER(TRIM(Q161)),"OK","MISMATCH"))))</f>
        <v/>
      </c>
      <c r="V161" s="19" t="str">
        <f aca="false">IF(F161="","",IF(L161="Yes","Blocked: hold",IF(AND(T161="OK",OR(U161="OK",U161="N/A"),R161="Yes",S161="Yes"),"Ready","Not ready")))</f>
        <v/>
      </c>
      <c r="W161" s="17"/>
      <c r="X161" s="17"/>
      <c r="Y161" s="17"/>
      <c r="Z161" s="17"/>
      <c r="AA161" s="17"/>
      <c r="AB161" s="17"/>
    </row>
    <row r="162" customFormat="false" ht="15" hidden="false" customHeight="false" outlineLevel="0" collapsed="false">
      <c r="A162" s="19" t="n">
        <v>158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9" t="str">
        <f aca="false">IF(F162="","",IF(P162="","Pending",IF(UPPER(TRIM(F162))=UPPER(TRIM(P162)),"OK","MISMATCH")))</f>
        <v/>
      </c>
      <c r="U162" s="19" t="str">
        <f aca="false">IF(F162="","",IF(H162&lt;&gt;"Yes","N/A",IF(Q162="","Pending",IF(UPPER(TRIM(G162))=UPPER(TRIM(Q162)),"OK","MISMATCH"))))</f>
        <v/>
      </c>
      <c r="V162" s="19" t="str">
        <f aca="false">IF(F162="","",IF(L162="Yes","Blocked: hold",IF(AND(T162="OK",OR(U162="OK",U162="N/A"),R162="Yes",S162="Yes"),"Ready","Not ready")))</f>
        <v/>
      </c>
      <c r="W162" s="17"/>
      <c r="X162" s="17"/>
      <c r="Y162" s="17"/>
      <c r="Z162" s="17"/>
      <c r="AA162" s="17"/>
      <c r="AB162" s="17"/>
    </row>
    <row r="163" customFormat="false" ht="15" hidden="false" customHeight="false" outlineLevel="0" collapsed="false">
      <c r="A163" s="19" t="n">
        <v>159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9" t="str">
        <f aca="false">IF(F163="","",IF(P163="","Pending",IF(UPPER(TRIM(F163))=UPPER(TRIM(P163)),"OK","MISMATCH")))</f>
        <v/>
      </c>
      <c r="U163" s="19" t="str">
        <f aca="false">IF(F163="","",IF(H163&lt;&gt;"Yes","N/A",IF(Q163="","Pending",IF(UPPER(TRIM(G163))=UPPER(TRIM(Q163)),"OK","MISMATCH"))))</f>
        <v/>
      </c>
      <c r="V163" s="19" t="str">
        <f aca="false">IF(F163="","",IF(L163="Yes","Blocked: hold",IF(AND(T163="OK",OR(U163="OK",U163="N/A"),R163="Yes",S163="Yes"),"Ready","Not ready")))</f>
        <v/>
      </c>
      <c r="W163" s="17"/>
      <c r="X163" s="17"/>
      <c r="Y163" s="17"/>
      <c r="Z163" s="17"/>
      <c r="AA163" s="17"/>
      <c r="AB163" s="17"/>
    </row>
    <row r="164" customFormat="false" ht="15" hidden="false" customHeight="false" outlineLevel="0" collapsed="false">
      <c r="A164" s="19" t="n">
        <v>160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9" t="str">
        <f aca="false">IF(F164="","",IF(P164="","Pending",IF(UPPER(TRIM(F164))=UPPER(TRIM(P164)),"OK","MISMATCH")))</f>
        <v/>
      </c>
      <c r="U164" s="19" t="str">
        <f aca="false">IF(F164="","",IF(H164&lt;&gt;"Yes","N/A",IF(Q164="","Pending",IF(UPPER(TRIM(G164))=UPPER(TRIM(Q164)),"OK","MISMATCH"))))</f>
        <v/>
      </c>
      <c r="V164" s="19" t="str">
        <f aca="false">IF(F164="","",IF(L164="Yes","Blocked: hold",IF(AND(T164="OK",OR(U164="OK",U164="N/A"),R164="Yes",S164="Yes"),"Ready","Not ready")))</f>
        <v/>
      </c>
      <c r="W164" s="17"/>
      <c r="X164" s="17"/>
      <c r="Y164" s="17"/>
      <c r="Z164" s="17"/>
      <c r="AA164" s="17"/>
      <c r="AB164" s="17"/>
    </row>
    <row r="165" customFormat="false" ht="15" hidden="false" customHeight="false" outlineLevel="0" collapsed="false">
      <c r="A165" s="19" t="n">
        <v>161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9" t="str">
        <f aca="false">IF(F165="","",IF(P165="","Pending",IF(UPPER(TRIM(F165))=UPPER(TRIM(P165)),"OK","MISMATCH")))</f>
        <v/>
      </c>
      <c r="U165" s="19" t="str">
        <f aca="false">IF(F165="","",IF(H165&lt;&gt;"Yes","N/A",IF(Q165="","Pending",IF(UPPER(TRIM(G165))=UPPER(TRIM(Q165)),"OK","MISMATCH"))))</f>
        <v/>
      </c>
      <c r="V165" s="19" t="str">
        <f aca="false">IF(F165="","",IF(L165="Yes","Blocked: hold",IF(AND(T165="OK",OR(U165="OK",U165="N/A"),R165="Yes",S165="Yes"),"Ready","Not ready")))</f>
        <v/>
      </c>
      <c r="W165" s="17"/>
      <c r="X165" s="17"/>
      <c r="Y165" s="17"/>
      <c r="Z165" s="17"/>
      <c r="AA165" s="17"/>
      <c r="AB165" s="17"/>
    </row>
    <row r="166" customFormat="false" ht="15" hidden="false" customHeight="false" outlineLevel="0" collapsed="false">
      <c r="A166" s="19" t="n">
        <v>162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9" t="str">
        <f aca="false">IF(F166="","",IF(P166="","Pending",IF(UPPER(TRIM(F166))=UPPER(TRIM(P166)),"OK","MISMATCH")))</f>
        <v/>
      </c>
      <c r="U166" s="19" t="str">
        <f aca="false">IF(F166="","",IF(H166&lt;&gt;"Yes","N/A",IF(Q166="","Pending",IF(UPPER(TRIM(G166))=UPPER(TRIM(Q166)),"OK","MISMATCH"))))</f>
        <v/>
      </c>
      <c r="V166" s="19" t="str">
        <f aca="false">IF(F166="","",IF(L166="Yes","Blocked: hold",IF(AND(T166="OK",OR(U166="OK",U166="N/A"),R166="Yes",S166="Yes"),"Ready","Not ready")))</f>
        <v/>
      </c>
      <c r="W166" s="17"/>
      <c r="X166" s="17"/>
      <c r="Y166" s="17"/>
      <c r="Z166" s="17"/>
      <c r="AA166" s="17"/>
      <c r="AB166" s="17"/>
    </row>
    <row r="167" customFormat="false" ht="15" hidden="false" customHeight="false" outlineLevel="0" collapsed="false">
      <c r="A167" s="19" t="n">
        <v>163</v>
      </c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9" t="str">
        <f aca="false">IF(F167="","",IF(P167="","Pending",IF(UPPER(TRIM(F167))=UPPER(TRIM(P167)),"OK","MISMATCH")))</f>
        <v/>
      </c>
      <c r="U167" s="19" t="str">
        <f aca="false">IF(F167="","",IF(H167&lt;&gt;"Yes","N/A",IF(Q167="","Pending",IF(UPPER(TRIM(G167))=UPPER(TRIM(Q167)),"OK","MISMATCH"))))</f>
        <v/>
      </c>
      <c r="V167" s="19" t="str">
        <f aca="false">IF(F167="","",IF(L167="Yes","Blocked: hold",IF(AND(T167="OK",OR(U167="OK",U167="N/A"),R167="Yes",S167="Yes"),"Ready","Not ready")))</f>
        <v/>
      </c>
      <c r="W167" s="17"/>
      <c r="X167" s="17"/>
      <c r="Y167" s="17"/>
      <c r="Z167" s="17"/>
      <c r="AA167" s="17"/>
      <c r="AB167" s="17"/>
    </row>
    <row r="168" customFormat="false" ht="15" hidden="false" customHeight="false" outlineLevel="0" collapsed="false">
      <c r="A168" s="19" t="n">
        <v>164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9" t="str">
        <f aca="false">IF(F168="","",IF(P168="","Pending",IF(UPPER(TRIM(F168))=UPPER(TRIM(P168)),"OK","MISMATCH")))</f>
        <v/>
      </c>
      <c r="U168" s="19" t="str">
        <f aca="false">IF(F168="","",IF(H168&lt;&gt;"Yes","N/A",IF(Q168="","Pending",IF(UPPER(TRIM(G168))=UPPER(TRIM(Q168)),"OK","MISMATCH"))))</f>
        <v/>
      </c>
      <c r="V168" s="19" t="str">
        <f aca="false">IF(F168="","",IF(L168="Yes","Blocked: hold",IF(AND(T168="OK",OR(U168="OK",U168="N/A"),R168="Yes",S168="Yes"),"Ready","Not ready")))</f>
        <v/>
      </c>
      <c r="W168" s="17"/>
      <c r="X168" s="17"/>
      <c r="Y168" s="17"/>
      <c r="Z168" s="17"/>
      <c r="AA168" s="17"/>
      <c r="AB168" s="17"/>
    </row>
    <row r="169" customFormat="false" ht="15" hidden="false" customHeight="false" outlineLevel="0" collapsed="false">
      <c r="A169" s="19" t="n">
        <v>165</v>
      </c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9" t="str">
        <f aca="false">IF(F169="","",IF(P169="","Pending",IF(UPPER(TRIM(F169))=UPPER(TRIM(P169)),"OK","MISMATCH")))</f>
        <v/>
      </c>
      <c r="U169" s="19" t="str">
        <f aca="false">IF(F169="","",IF(H169&lt;&gt;"Yes","N/A",IF(Q169="","Pending",IF(UPPER(TRIM(G169))=UPPER(TRIM(Q169)),"OK","MISMATCH"))))</f>
        <v/>
      </c>
      <c r="V169" s="19" t="str">
        <f aca="false">IF(F169="","",IF(L169="Yes","Blocked: hold",IF(AND(T169="OK",OR(U169="OK",U169="N/A"),R169="Yes",S169="Yes"),"Ready","Not ready")))</f>
        <v/>
      </c>
      <c r="W169" s="17"/>
      <c r="X169" s="17"/>
      <c r="Y169" s="17"/>
      <c r="Z169" s="17"/>
      <c r="AA169" s="17"/>
      <c r="AB169" s="17"/>
    </row>
    <row r="170" customFormat="false" ht="15" hidden="false" customHeight="false" outlineLevel="0" collapsed="false">
      <c r="A170" s="19" t="n">
        <v>166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9" t="str">
        <f aca="false">IF(F170="","",IF(P170="","Pending",IF(UPPER(TRIM(F170))=UPPER(TRIM(P170)),"OK","MISMATCH")))</f>
        <v/>
      </c>
      <c r="U170" s="19" t="str">
        <f aca="false">IF(F170="","",IF(H170&lt;&gt;"Yes","N/A",IF(Q170="","Pending",IF(UPPER(TRIM(G170))=UPPER(TRIM(Q170)),"OK","MISMATCH"))))</f>
        <v/>
      </c>
      <c r="V170" s="19" t="str">
        <f aca="false">IF(F170="","",IF(L170="Yes","Blocked: hold",IF(AND(T170="OK",OR(U170="OK",U170="N/A"),R170="Yes",S170="Yes"),"Ready","Not ready")))</f>
        <v/>
      </c>
      <c r="W170" s="17"/>
      <c r="X170" s="17"/>
      <c r="Y170" s="17"/>
      <c r="Z170" s="17"/>
      <c r="AA170" s="17"/>
      <c r="AB170" s="17"/>
    </row>
    <row r="171" customFormat="false" ht="15" hidden="false" customHeight="false" outlineLevel="0" collapsed="false">
      <c r="A171" s="19" t="n">
        <v>167</v>
      </c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9" t="str">
        <f aca="false">IF(F171="","",IF(P171="","Pending",IF(UPPER(TRIM(F171))=UPPER(TRIM(P171)),"OK","MISMATCH")))</f>
        <v/>
      </c>
      <c r="U171" s="19" t="str">
        <f aca="false">IF(F171="","",IF(H171&lt;&gt;"Yes","N/A",IF(Q171="","Pending",IF(UPPER(TRIM(G171))=UPPER(TRIM(Q171)),"OK","MISMATCH"))))</f>
        <v/>
      </c>
      <c r="V171" s="19" t="str">
        <f aca="false">IF(F171="","",IF(L171="Yes","Blocked: hold",IF(AND(T171="OK",OR(U171="OK",U171="N/A"),R171="Yes",S171="Yes"),"Ready","Not ready")))</f>
        <v/>
      </c>
      <c r="W171" s="17"/>
      <c r="X171" s="17"/>
      <c r="Y171" s="17"/>
      <c r="Z171" s="17"/>
      <c r="AA171" s="17"/>
      <c r="AB171" s="17"/>
    </row>
    <row r="172" customFormat="false" ht="15" hidden="false" customHeight="false" outlineLevel="0" collapsed="false">
      <c r="A172" s="19" t="n">
        <v>168</v>
      </c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9" t="str">
        <f aca="false">IF(F172="","",IF(P172="","Pending",IF(UPPER(TRIM(F172))=UPPER(TRIM(P172)),"OK","MISMATCH")))</f>
        <v/>
      </c>
      <c r="U172" s="19" t="str">
        <f aca="false">IF(F172="","",IF(H172&lt;&gt;"Yes","N/A",IF(Q172="","Pending",IF(UPPER(TRIM(G172))=UPPER(TRIM(Q172)),"OK","MISMATCH"))))</f>
        <v/>
      </c>
      <c r="V172" s="19" t="str">
        <f aca="false">IF(F172="","",IF(L172="Yes","Blocked: hold",IF(AND(T172="OK",OR(U172="OK",U172="N/A"),R172="Yes",S172="Yes"),"Ready","Not ready")))</f>
        <v/>
      </c>
      <c r="W172" s="17"/>
      <c r="X172" s="17"/>
      <c r="Y172" s="17"/>
      <c r="Z172" s="17"/>
      <c r="AA172" s="17"/>
      <c r="AB172" s="17"/>
    </row>
    <row r="173" customFormat="false" ht="15" hidden="false" customHeight="false" outlineLevel="0" collapsed="false">
      <c r="A173" s="19" t="n">
        <v>169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9" t="str">
        <f aca="false">IF(F173="","",IF(P173="","Pending",IF(UPPER(TRIM(F173))=UPPER(TRIM(P173)),"OK","MISMATCH")))</f>
        <v/>
      </c>
      <c r="U173" s="19" t="str">
        <f aca="false">IF(F173="","",IF(H173&lt;&gt;"Yes","N/A",IF(Q173="","Pending",IF(UPPER(TRIM(G173))=UPPER(TRIM(Q173)),"OK","MISMATCH"))))</f>
        <v/>
      </c>
      <c r="V173" s="19" t="str">
        <f aca="false">IF(F173="","",IF(L173="Yes","Blocked: hold",IF(AND(T173="OK",OR(U173="OK",U173="N/A"),R173="Yes",S173="Yes"),"Ready","Not ready")))</f>
        <v/>
      </c>
      <c r="W173" s="17"/>
      <c r="X173" s="17"/>
      <c r="Y173" s="17"/>
      <c r="Z173" s="17"/>
      <c r="AA173" s="17"/>
      <c r="AB173" s="17"/>
    </row>
    <row r="174" customFormat="false" ht="15" hidden="false" customHeight="false" outlineLevel="0" collapsed="false">
      <c r="A174" s="19" t="n">
        <v>170</v>
      </c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9" t="str">
        <f aca="false">IF(F174="","",IF(P174="","Pending",IF(UPPER(TRIM(F174))=UPPER(TRIM(P174)),"OK","MISMATCH")))</f>
        <v/>
      </c>
      <c r="U174" s="19" t="str">
        <f aca="false">IF(F174="","",IF(H174&lt;&gt;"Yes","N/A",IF(Q174="","Pending",IF(UPPER(TRIM(G174))=UPPER(TRIM(Q174)),"OK","MISMATCH"))))</f>
        <v/>
      </c>
      <c r="V174" s="19" t="str">
        <f aca="false">IF(F174="","",IF(L174="Yes","Blocked: hold",IF(AND(T174="OK",OR(U174="OK",U174="N/A"),R174="Yes",S174="Yes"),"Ready","Not ready")))</f>
        <v/>
      </c>
      <c r="W174" s="17"/>
      <c r="X174" s="17"/>
      <c r="Y174" s="17"/>
      <c r="Z174" s="17"/>
      <c r="AA174" s="17"/>
      <c r="AB174" s="17"/>
    </row>
    <row r="175" customFormat="false" ht="15" hidden="false" customHeight="false" outlineLevel="0" collapsed="false">
      <c r="A175" s="19" t="n">
        <v>171</v>
      </c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9" t="str">
        <f aca="false">IF(F175="","",IF(P175="","Pending",IF(UPPER(TRIM(F175))=UPPER(TRIM(P175)),"OK","MISMATCH")))</f>
        <v/>
      </c>
      <c r="U175" s="19" t="str">
        <f aca="false">IF(F175="","",IF(H175&lt;&gt;"Yes","N/A",IF(Q175="","Pending",IF(UPPER(TRIM(G175))=UPPER(TRIM(Q175)),"OK","MISMATCH"))))</f>
        <v/>
      </c>
      <c r="V175" s="19" t="str">
        <f aca="false">IF(F175="","",IF(L175="Yes","Blocked: hold",IF(AND(T175="OK",OR(U175="OK",U175="N/A"),R175="Yes",S175="Yes"),"Ready","Not ready")))</f>
        <v/>
      </c>
      <c r="W175" s="17"/>
      <c r="X175" s="17"/>
      <c r="Y175" s="17"/>
      <c r="Z175" s="17"/>
      <c r="AA175" s="17"/>
      <c r="AB175" s="17"/>
    </row>
    <row r="176" customFormat="false" ht="15" hidden="false" customHeight="false" outlineLevel="0" collapsed="false">
      <c r="A176" s="19" t="n">
        <v>172</v>
      </c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9" t="str">
        <f aca="false">IF(F176="","",IF(P176="","Pending",IF(UPPER(TRIM(F176))=UPPER(TRIM(P176)),"OK","MISMATCH")))</f>
        <v/>
      </c>
      <c r="U176" s="19" t="str">
        <f aca="false">IF(F176="","",IF(H176&lt;&gt;"Yes","N/A",IF(Q176="","Pending",IF(UPPER(TRIM(G176))=UPPER(TRIM(Q176)),"OK","MISMATCH"))))</f>
        <v/>
      </c>
      <c r="V176" s="19" t="str">
        <f aca="false">IF(F176="","",IF(L176="Yes","Blocked: hold",IF(AND(T176="OK",OR(U176="OK",U176="N/A"),R176="Yes",S176="Yes"),"Ready","Not ready")))</f>
        <v/>
      </c>
      <c r="W176" s="17"/>
      <c r="X176" s="17"/>
      <c r="Y176" s="17"/>
      <c r="Z176" s="17"/>
      <c r="AA176" s="17"/>
      <c r="AB176" s="17"/>
    </row>
    <row r="177" customFormat="false" ht="15" hidden="false" customHeight="false" outlineLevel="0" collapsed="false">
      <c r="A177" s="19" t="n">
        <v>173</v>
      </c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9" t="str">
        <f aca="false">IF(F177="","",IF(P177="","Pending",IF(UPPER(TRIM(F177))=UPPER(TRIM(P177)),"OK","MISMATCH")))</f>
        <v/>
      </c>
      <c r="U177" s="19" t="str">
        <f aca="false">IF(F177="","",IF(H177&lt;&gt;"Yes","N/A",IF(Q177="","Pending",IF(UPPER(TRIM(G177))=UPPER(TRIM(Q177)),"OK","MISMATCH"))))</f>
        <v/>
      </c>
      <c r="V177" s="19" t="str">
        <f aca="false">IF(F177="","",IF(L177="Yes","Blocked: hold",IF(AND(T177="OK",OR(U177="OK",U177="N/A"),R177="Yes",S177="Yes"),"Ready","Not ready")))</f>
        <v/>
      </c>
      <c r="W177" s="17"/>
      <c r="X177" s="17"/>
      <c r="Y177" s="17"/>
      <c r="Z177" s="17"/>
      <c r="AA177" s="17"/>
      <c r="AB177" s="17"/>
    </row>
    <row r="178" customFormat="false" ht="15" hidden="false" customHeight="false" outlineLevel="0" collapsed="false">
      <c r="A178" s="19" t="n">
        <v>174</v>
      </c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9" t="str">
        <f aca="false">IF(F178="","",IF(P178="","Pending",IF(UPPER(TRIM(F178))=UPPER(TRIM(P178)),"OK","MISMATCH")))</f>
        <v/>
      </c>
      <c r="U178" s="19" t="str">
        <f aca="false">IF(F178="","",IF(H178&lt;&gt;"Yes","N/A",IF(Q178="","Pending",IF(UPPER(TRIM(G178))=UPPER(TRIM(Q178)),"OK","MISMATCH"))))</f>
        <v/>
      </c>
      <c r="V178" s="19" t="str">
        <f aca="false">IF(F178="","",IF(L178="Yes","Blocked: hold",IF(AND(T178="OK",OR(U178="OK",U178="N/A"),R178="Yes",S178="Yes"),"Ready","Not ready")))</f>
        <v/>
      </c>
      <c r="W178" s="17"/>
      <c r="X178" s="17"/>
      <c r="Y178" s="17"/>
      <c r="Z178" s="17"/>
      <c r="AA178" s="17"/>
      <c r="AB178" s="17"/>
    </row>
    <row r="179" customFormat="false" ht="15" hidden="false" customHeight="false" outlineLevel="0" collapsed="false">
      <c r="A179" s="19" t="n">
        <v>175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9" t="str">
        <f aca="false">IF(F179="","",IF(P179="","Pending",IF(UPPER(TRIM(F179))=UPPER(TRIM(P179)),"OK","MISMATCH")))</f>
        <v/>
      </c>
      <c r="U179" s="19" t="str">
        <f aca="false">IF(F179="","",IF(H179&lt;&gt;"Yes","N/A",IF(Q179="","Pending",IF(UPPER(TRIM(G179))=UPPER(TRIM(Q179)),"OK","MISMATCH"))))</f>
        <v/>
      </c>
      <c r="V179" s="19" t="str">
        <f aca="false">IF(F179="","",IF(L179="Yes","Blocked: hold",IF(AND(T179="OK",OR(U179="OK",U179="N/A"),R179="Yes",S179="Yes"),"Ready","Not ready")))</f>
        <v/>
      </c>
      <c r="W179" s="17"/>
      <c r="X179" s="17"/>
      <c r="Y179" s="17"/>
      <c r="Z179" s="17"/>
      <c r="AA179" s="17"/>
      <c r="AB179" s="17"/>
    </row>
    <row r="180" customFormat="false" ht="15" hidden="false" customHeight="false" outlineLevel="0" collapsed="false">
      <c r="A180" s="19" t="n">
        <v>176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9" t="str">
        <f aca="false">IF(F180="","",IF(P180="","Pending",IF(UPPER(TRIM(F180))=UPPER(TRIM(P180)),"OK","MISMATCH")))</f>
        <v/>
      </c>
      <c r="U180" s="19" t="str">
        <f aca="false">IF(F180="","",IF(H180&lt;&gt;"Yes","N/A",IF(Q180="","Pending",IF(UPPER(TRIM(G180))=UPPER(TRIM(Q180)),"OK","MISMATCH"))))</f>
        <v/>
      </c>
      <c r="V180" s="19" t="str">
        <f aca="false">IF(F180="","",IF(L180="Yes","Blocked: hold",IF(AND(T180="OK",OR(U180="OK",U180="N/A"),R180="Yes",S180="Yes"),"Ready","Not ready")))</f>
        <v/>
      </c>
      <c r="W180" s="17"/>
      <c r="X180" s="17"/>
      <c r="Y180" s="17"/>
      <c r="Z180" s="17"/>
      <c r="AA180" s="17"/>
      <c r="AB180" s="17"/>
    </row>
    <row r="181" customFormat="false" ht="15" hidden="false" customHeight="false" outlineLevel="0" collapsed="false">
      <c r="A181" s="19" t="n">
        <v>177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9" t="str">
        <f aca="false">IF(F181="","",IF(P181="","Pending",IF(UPPER(TRIM(F181))=UPPER(TRIM(P181)),"OK","MISMATCH")))</f>
        <v/>
      </c>
      <c r="U181" s="19" t="str">
        <f aca="false">IF(F181="","",IF(H181&lt;&gt;"Yes","N/A",IF(Q181="","Pending",IF(UPPER(TRIM(G181))=UPPER(TRIM(Q181)),"OK","MISMATCH"))))</f>
        <v/>
      </c>
      <c r="V181" s="19" t="str">
        <f aca="false">IF(F181="","",IF(L181="Yes","Blocked: hold",IF(AND(T181="OK",OR(U181="OK",U181="N/A"),R181="Yes",S181="Yes"),"Ready","Not ready")))</f>
        <v/>
      </c>
      <c r="W181" s="17"/>
      <c r="X181" s="17"/>
      <c r="Y181" s="17"/>
      <c r="Z181" s="17"/>
      <c r="AA181" s="17"/>
      <c r="AB181" s="17"/>
    </row>
    <row r="182" customFormat="false" ht="15" hidden="false" customHeight="false" outlineLevel="0" collapsed="false">
      <c r="A182" s="19" t="n">
        <v>178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9" t="str">
        <f aca="false">IF(F182="","",IF(P182="","Pending",IF(UPPER(TRIM(F182))=UPPER(TRIM(P182)),"OK","MISMATCH")))</f>
        <v/>
      </c>
      <c r="U182" s="19" t="str">
        <f aca="false">IF(F182="","",IF(H182&lt;&gt;"Yes","N/A",IF(Q182="","Pending",IF(UPPER(TRIM(G182))=UPPER(TRIM(Q182)),"OK","MISMATCH"))))</f>
        <v/>
      </c>
      <c r="V182" s="19" t="str">
        <f aca="false">IF(F182="","",IF(L182="Yes","Blocked: hold",IF(AND(T182="OK",OR(U182="OK",U182="N/A"),R182="Yes",S182="Yes"),"Ready","Not ready")))</f>
        <v/>
      </c>
      <c r="W182" s="17"/>
      <c r="X182" s="17"/>
      <c r="Y182" s="17"/>
      <c r="Z182" s="17"/>
      <c r="AA182" s="17"/>
      <c r="AB182" s="17"/>
    </row>
    <row r="183" customFormat="false" ht="15" hidden="false" customHeight="false" outlineLevel="0" collapsed="false">
      <c r="A183" s="19" t="n">
        <v>179</v>
      </c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9" t="str">
        <f aca="false">IF(F183="","",IF(P183="","Pending",IF(UPPER(TRIM(F183))=UPPER(TRIM(P183)),"OK","MISMATCH")))</f>
        <v/>
      </c>
      <c r="U183" s="19" t="str">
        <f aca="false">IF(F183="","",IF(H183&lt;&gt;"Yes","N/A",IF(Q183="","Pending",IF(UPPER(TRIM(G183))=UPPER(TRIM(Q183)),"OK","MISMATCH"))))</f>
        <v/>
      </c>
      <c r="V183" s="19" t="str">
        <f aca="false">IF(F183="","",IF(L183="Yes","Blocked: hold",IF(AND(T183="OK",OR(U183="OK",U183="N/A"),R183="Yes",S183="Yes"),"Ready","Not ready")))</f>
        <v/>
      </c>
      <c r="W183" s="17"/>
      <c r="X183" s="17"/>
      <c r="Y183" s="17"/>
      <c r="Z183" s="17"/>
      <c r="AA183" s="17"/>
      <c r="AB183" s="17"/>
    </row>
    <row r="184" customFormat="false" ht="15" hidden="false" customHeight="false" outlineLevel="0" collapsed="false">
      <c r="A184" s="19" t="n">
        <v>180</v>
      </c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9" t="str">
        <f aca="false">IF(F184="","",IF(P184="","Pending",IF(UPPER(TRIM(F184))=UPPER(TRIM(P184)),"OK","MISMATCH")))</f>
        <v/>
      </c>
      <c r="U184" s="19" t="str">
        <f aca="false">IF(F184="","",IF(H184&lt;&gt;"Yes","N/A",IF(Q184="","Pending",IF(UPPER(TRIM(G184))=UPPER(TRIM(Q184)),"OK","MISMATCH"))))</f>
        <v/>
      </c>
      <c r="V184" s="19" t="str">
        <f aca="false">IF(F184="","",IF(L184="Yes","Blocked: hold",IF(AND(T184="OK",OR(U184="OK",U184="N/A"),R184="Yes",S184="Yes"),"Ready","Not ready")))</f>
        <v/>
      </c>
      <c r="W184" s="17"/>
      <c r="X184" s="17"/>
      <c r="Y184" s="17"/>
      <c r="Z184" s="17"/>
      <c r="AA184" s="17"/>
      <c r="AB184" s="17"/>
    </row>
    <row r="185" customFormat="false" ht="15" hidden="false" customHeight="false" outlineLevel="0" collapsed="false">
      <c r="A185" s="19" t="n">
        <v>181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9" t="str">
        <f aca="false">IF(F185="","",IF(P185="","Pending",IF(UPPER(TRIM(F185))=UPPER(TRIM(P185)),"OK","MISMATCH")))</f>
        <v/>
      </c>
      <c r="U185" s="19" t="str">
        <f aca="false">IF(F185="","",IF(H185&lt;&gt;"Yes","N/A",IF(Q185="","Pending",IF(UPPER(TRIM(G185))=UPPER(TRIM(Q185)),"OK","MISMATCH"))))</f>
        <v/>
      </c>
      <c r="V185" s="19" t="str">
        <f aca="false">IF(F185="","",IF(L185="Yes","Blocked: hold",IF(AND(T185="OK",OR(U185="OK",U185="N/A"),R185="Yes",S185="Yes"),"Ready","Not ready")))</f>
        <v/>
      </c>
      <c r="W185" s="17"/>
      <c r="X185" s="17"/>
      <c r="Y185" s="17"/>
      <c r="Z185" s="17"/>
      <c r="AA185" s="17"/>
      <c r="AB185" s="17"/>
    </row>
    <row r="186" customFormat="false" ht="15" hidden="false" customHeight="false" outlineLevel="0" collapsed="false">
      <c r="A186" s="19" t="n">
        <v>182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9" t="str">
        <f aca="false">IF(F186="","",IF(P186="","Pending",IF(UPPER(TRIM(F186))=UPPER(TRIM(P186)),"OK","MISMATCH")))</f>
        <v/>
      </c>
      <c r="U186" s="19" t="str">
        <f aca="false">IF(F186="","",IF(H186&lt;&gt;"Yes","N/A",IF(Q186="","Pending",IF(UPPER(TRIM(G186))=UPPER(TRIM(Q186)),"OK","MISMATCH"))))</f>
        <v/>
      </c>
      <c r="V186" s="19" t="str">
        <f aca="false">IF(F186="","",IF(L186="Yes","Blocked: hold",IF(AND(T186="OK",OR(U186="OK",U186="N/A"),R186="Yes",S186="Yes"),"Ready","Not ready")))</f>
        <v/>
      </c>
      <c r="W186" s="17"/>
      <c r="X186" s="17"/>
      <c r="Y186" s="17"/>
      <c r="Z186" s="17"/>
      <c r="AA186" s="17"/>
      <c r="AB186" s="17"/>
    </row>
    <row r="187" customFormat="false" ht="15" hidden="false" customHeight="false" outlineLevel="0" collapsed="false">
      <c r="A187" s="19" t="n">
        <v>183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9" t="str">
        <f aca="false">IF(F187="","",IF(P187="","Pending",IF(UPPER(TRIM(F187))=UPPER(TRIM(P187)),"OK","MISMATCH")))</f>
        <v/>
      </c>
      <c r="U187" s="19" t="str">
        <f aca="false">IF(F187="","",IF(H187&lt;&gt;"Yes","N/A",IF(Q187="","Pending",IF(UPPER(TRIM(G187))=UPPER(TRIM(Q187)),"OK","MISMATCH"))))</f>
        <v/>
      </c>
      <c r="V187" s="19" t="str">
        <f aca="false">IF(F187="","",IF(L187="Yes","Blocked: hold",IF(AND(T187="OK",OR(U187="OK",U187="N/A"),R187="Yes",S187="Yes"),"Ready","Not ready")))</f>
        <v/>
      </c>
      <c r="W187" s="17"/>
      <c r="X187" s="17"/>
      <c r="Y187" s="17"/>
      <c r="Z187" s="17"/>
      <c r="AA187" s="17"/>
      <c r="AB187" s="17"/>
    </row>
    <row r="188" customFormat="false" ht="15" hidden="false" customHeight="false" outlineLevel="0" collapsed="false">
      <c r="A188" s="19" t="n">
        <v>184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9" t="str">
        <f aca="false">IF(F188="","",IF(P188="","Pending",IF(UPPER(TRIM(F188))=UPPER(TRIM(P188)),"OK","MISMATCH")))</f>
        <v/>
      </c>
      <c r="U188" s="19" t="str">
        <f aca="false">IF(F188="","",IF(H188&lt;&gt;"Yes","N/A",IF(Q188="","Pending",IF(UPPER(TRIM(G188))=UPPER(TRIM(Q188)),"OK","MISMATCH"))))</f>
        <v/>
      </c>
      <c r="V188" s="19" t="str">
        <f aca="false">IF(F188="","",IF(L188="Yes","Blocked: hold",IF(AND(T188="OK",OR(U188="OK",U188="N/A"),R188="Yes",S188="Yes"),"Ready","Not ready")))</f>
        <v/>
      </c>
      <c r="W188" s="17"/>
      <c r="X188" s="17"/>
      <c r="Y188" s="17"/>
      <c r="Z188" s="17"/>
      <c r="AA188" s="17"/>
      <c r="AB188" s="17"/>
    </row>
    <row r="189" customFormat="false" ht="15" hidden="false" customHeight="false" outlineLevel="0" collapsed="false">
      <c r="A189" s="19" t="n">
        <v>185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9" t="str">
        <f aca="false">IF(F189="","",IF(P189="","Pending",IF(UPPER(TRIM(F189))=UPPER(TRIM(P189)),"OK","MISMATCH")))</f>
        <v/>
      </c>
      <c r="U189" s="19" t="str">
        <f aca="false">IF(F189="","",IF(H189&lt;&gt;"Yes","N/A",IF(Q189="","Pending",IF(UPPER(TRIM(G189))=UPPER(TRIM(Q189)),"OK","MISMATCH"))))</f>
        <v/>
      </c>
      <c r="V189" s="19" t="str">
        <f aca="false">IF(F189="","",IF(L189="Yes","Blocked: hold",IF(AND(T189="OK",OR(U189="OK",U189="N/A"),R189="Yes",S189="Yes"),"Ready","Not ready")))</f>
        <v/>
      </c>
      <c r="W189" s="17"/>
      <c r="X189" s="17"/>
      <c r="Y189" s="17"/>
      <c r="Z189" s="17"/>
      <c r="AA189" s="17"/>
      <c r="AB189" s="17"/>
    </row>
    <row r="190" customFormat="false" ht="15" hidden="false" customHeight="false" outlineLevel="0" collapsed="false">
      <c r="A190" s="19" t="n">
        <v>186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9" t="str">
        <f aca="false">IF(F190="","",IF(P190="","Pending",IF(UPPER(TRIM(F190))=UPPER(TRIM(P190)),"OK","MISMATCH")))</f>
        <v/>
      </c>
      <c r="U190" s="19" t="str">
        <f aca="false">IF(F190="","",IF(H190&lt;&gt;"Yes","N/A",IF(Q190="","Pending",IF(UPPER(TRIM(G190))=UPPER(TRIM(Q190)),"OK","MISMATCH"))))</f>
        <v/>
      </c>
      <c r="V190" s="19" t="str">
        <f aca="false">IF(F190="","",IF(L190="Yes","Blocked: hold",IF(AND(T190="OK",OR(U190="OK",U190="N/A"),R190="Yes",S190="Yes"),"Ready","Not ready")))</f>
        <v/>
      </c>
      <c r="W190" s="17"/>
      <c r="X190" s="17"/>
      <c r="Y190" s="17"/>
      <c r="Z190" s="17"/>
      <c r="AA190" s="17"/>
      <c r="AB190" s="17"/>
    </row>
    <row r="191" customFormat="false" ht="15" hidden="false" customHeight="false" outlineLevel="0" collapsed="false">
      <c r="A191" s="19" t="n">
        <v>187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9" t="str">
        <f aca="false">IF(F191="","",IF(P191="","Pending",IF(UPPER(TRIM(F191))=UPPER(TRIM(P191)),"OK","MISMATCH")))</f>
        <v/>
      </c>
      <c r="U191" s="19" t="str">
        <f aca="false">IF(F191="","",IF(H191&lt;&gt;"Yes","N/A",IF(Q191="","Pending",IF(UPPER(TRIM(G191))=UPPER(TRIM(Q191)),"OK","MISMATCH"))))</f>
        <v/>
      </c>
      <c r="V191" s="19" t="str">
        <f aca="false">IF(F191="","",IF(L191="Yes","Blocked: hold",IF(AND(T191="OK",OR(U191="OK",U191="N/A"),R191="Yes",S191="Yes"),"Ready","Not ready")))</f>
        <v/>
      </c>
      <c r="W191" s="17"/>
      <c r="X191" s="17"/>
      <c r="Y191" s="17"/>
      <c r="Z191" s="17"/>
      <c r="AA191" s="17"/>
      <c r="AB191" s="17"/>
    </row>
    <row r="192" customFormat="false" ht="15" hidden="false" customHeight="false" outlineLevel="0" collapsed="false">
      <c r="A192" s="19" t="n">
        <v>188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9" t="str">
        <f aca="false">IF(F192="","",IF(P192="","Pending",IF(UPPER(TRIM(F192))=UPPER(TRIM(P192)),"OK","MISMATCH")))</f>
        <v/>
      </c>
      <c r="U192" s="19" t="str">
        <f aca="false">IF(F192="","",IF(H192&lt;&gt;"Yes","N/A",IF(Q192="","Pending",IF(UPPER(TRIM(G192))=UPPER(TRIM(Q192)),"OK","MISMATCH"))))</f>
        <v/>
      </c>
      <c r="V192" s="19" t="str">
        <f aca="false">IF(F192="","",IF(L192="Yes","Blocked: hold",IF(AND(T192="OK",OR(U192="OK",U192="N/A"),R192="Yes",S192="Yes"),"Ready","Not ready")))</f>
        <v/>
      </c>
      <c r="W192" s="17"/>
      <c r="X192" s="17"/>
      <c r="Y192" s="17"/>
      <c r="Z192" s="17"/>
      <c r="AA192" s="17"/>
      <c r="AB192" s="17"/>
    </row>
    <row r="193" customFormat="false" ht="15" hidden="false" customHeight="false" outlineLevel="0" collapsed="false">
      <c r="A193" s="19" t="n">
        <v>189</v>
      </c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9" t="str">
        <f aca="false">IF(F193="","",IF(P193="","Pending",IF(UPPER(TRIM(F193))=UPPER(TRIM(P193)),"OK","MISMATCH")))</f>
        <v/>
      </c>
      <c r="U193" s="19" t="str">
        <f aca="false">IF(F193="","",IF(H193&lt;&gt;"Yes","N/A",IF(Q193="","Pending",IF(UPPER(TRIM(G193))=UPPER(TRIM(Q193)),"OK","MISMATCH"))))</f>
        <v/>
      </c>
      <c r="V193" s="19" t="str">
        <f aca="false">IF(F193="","",IF(L193="Yes","Blocked: hold",IF(AND(T193="OK",OR(U193="OK",U193="N/A"),R193="Yes",S193="Yes"),"Ready","Not ready")))</f>
        <v/>
      </c>
      <c r="W193" s="17"/>
      <c r="X193" s="17"/>
      <c r="Y193" s="17"/>
      <c r="Z193" s="17"/>
      <c r="AA193" s="17"/>
      <c r="AB193" s="17"/>
    </row>
    <row r="194" customFormat="false" ht="15" hidden="false" customHeight="false" outlineLevel="0" collapsed="false">
      <c r="A194" s="19" t="n">
        <v>190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9" t="str">
        <f aca="false">IF(F194="","",IF(P194="","Pending",IF(UPPER(TRIM(F194))=UPPER(TRIM(P194)),"OK","MISMATCH")))</f>
        <v/>
      </c>
      <c r="U194" s="19" t="str">
        <f aca="false">IF(F194="","",IF(H194&lt;&gt;"Yes","N/A",IF(Q194="","Pending",IF(UPPER(TRIM(G194))=UPPER(TRIM(Q194)),"OK","MISMATCH"))))</f>
        <v/>
      </c>
      <c r="V194" s="19" t="str">
        <f aca="false">IF(F194="","",IF(L194="Yes","Blocked: hold",IF(AND(T194="OK",OR(U194="OK",U194="N/A"),R194="Yes",S194="Yes"),"Ready","Not ready")))</f>
        <v/>
      </c>
      <c r="W194" s="17"/>
      <c r="X194" s="17"/>
      <c r="Y194" s="17"/>
      <c r="Z194" s="17"/>
      <c r="AA194" s="17"/>
      <c r="AB194" s="17"/>
    </row>
    <row r="195" customFormat="false" ht="15" hidden="false" customHeight="false" outlineLevel="0" collapsed="false">
      <c r="A195" s="19" t="n">
        <v>191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9" t="str">
        <f aca="false">IF(F195="","",IF(P195="","Pending",IF(UPPER(TRIM(F195))=UPPER(TRIM(P195)),"OK","MISMATCH")))</f>
        <v/>
      </c>
      <c r="U195" s="19" t="str">
        <f aca="false">IF(F195="","",IF(H195&lt;&gt;"Yes","N/A",IF(Q195="","Pending",IF(UPPER(TRIM(G195))=UPPER(TRIM(Q195)),"OK","MISMATCH"))))</f>
        <v/>
      </c>
      <c r="V195" s="19" t="str">
        <f aca="false">IF(F195="","",IF(L195="Yes","Blocked: hold",IF(AND(T195="OK",OR(U195="OK",U195="N/A"),R195="Yes",S195="Yes"),"Ready","Not ready")))</f>
        <v/>
      </c>
      <c r="W195" s="17"/>
      <c r="X195" s="17"/>
      <c r="Y195" s="17"/>
      <c r="Z195" s="17"/>
      <c r="AA195" s="17"/>
      <c r="AB195" s="17"/>
    </row>
    <row r="196" customFormat="false" ht="15" hidden="false" customHeight="false" outlineLevel="0" collapsed="false">
      <c r="A196" s="19" t="n">
        <v>192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9" t="str">
        <f aca="false">IF(F196="","",IF(P196="","Pending",IF(UPPER(TRIM(F196))=UPPER(TRIM(P196)),"OK","MISMATCH")))</f>
        <v/>
      </c>
      <c r="U196" s="19" t="str">
        <f aca="false">IF(F196="","",IF(H196&lt;&gt;"Yes","N/A",IF(Q196="","Pending",IF(UPPER(TRIM(G196))=UPPER(TRIM(Q196)),"OK","MISMATCH"))))</f>
        <v/>
      </c>
      <c r="V196" s="19" t="str">
        <f aca="false">IF(F196="","",IF(L196="Yes","Blocked: hold",IF(AND(T196="OK",OR(U196="OK",U196="N/A"),R196="Yes",S196="Yes"),"Ready","Not ready")))</f>
        <v/>
      </c>
      <c r="W196" s="17"/>
      <c r="X196" s="17"/>
      <c r="Y196" s="17"/>
      <c r="Z196" s="17"/>
      <c r="AA196" s="17"/>
      <c r="AB196" s="17"/>
    </row>
    <row r="197" customFormat="false" ht="15" hidden="false" customHeight="false" outlineLevel="0" collapsed="false">
      <c r="A197" s="19" t="n">
        <v>193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9" t="str">
        <f aca="false">IF(F197="","",IF(P197="","Pending",IF(UPPER(TRIM(F197))=UPPER(TRIM(P197)),"OK","MISMATCH")))</f>
        <v/>
      </c>
      <c r="U197" s="19" t="str">
        <f aca="false">IF(F197="","",IF(H197&lt;&gt;"Yes","N/A",IF(Q197="","Pending",IF(UPPER(TRIM(G197))=UPPER(TRIM(Q197)),"OK","MISMATCH"))))</f>
        <v/>
      </c>
      <c r="V197" s="19" t="str">
        <f aca="false">IF(F197="","",IF(L197="Yes","Blocked: hold",IF(AND(T197="OK",OR(U197="OK",U197="N/A"),R197="Yes",S197="Yes"),"Ready","Not ready")))</f>
        <v/>
      </c>
      <c r="W197" s="17"/>
      <c r="X197" s="17"/>
      <c r="Y197" s="17"/>
      <c r="Z197" s="17"/>
      <c r="AA197" s="17"/>
      <c r="AB197" s="17"/>
    </row>
    <row r="198" customFormat="false" ht="15" hidden="false" customHeight="false" outlineLevel="0" collapsed="false">
      <c r="A198" s="19" t="n">
        <v>194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9" t="str">
        <f aca="false">IF(F198="","",IF(P198="","Pending",IF(UPPER(TRIM(F198))=UPPER(TRIM(P198)),"OK","MISMATCH")))</f>
        <v/>
      </c>
      <c r="U198" s="19" t="str">
        <f aca="false">IF(F198="","",IF(H198&lt;&gt;"Yes","N/A",IF(Q198="","Pending",IF(UPPER(TRIM(G198))=UPPER(TRIM(Q198)),"OK","MISMATCH"))))</f>
        <v/>
      </c>
      <c r="V198" s="19" t="str">
        <f aca="false">IF(F198="","",IF(L198="Yes","Blocked: hold",IF(AND(T198="OK",OR(U198="OK",U198="N/A"),R198="Yes",S198="Yes"),"Ready","Not ready")))</f>
        <v/>
      </c>
      <c r="W198" s="17"/>
      <c r="X198" s="17"/>
      <c r="Y198" s="17"/>
      <c r="Z198" s="17"/>
      <c r="AA198" s="17"/>
      <c r="AB198" s="17"/>
    </row>
    <row r="199" customFormat="false" ht="15" hidden="false" customHeight="false" outlineLevel="0" collapsed="false">
      <c r="A199" s="19" t="n">
        <v>195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9" t="str">
        <f aca="false">IF(F199="","",IF(P199="","Pending",IF(UPPER(TRIM(F199))=UPPER(TRIM(P199)),"OK","MISMATCH")))</f>
        <v/>
      </c>
      <c r="U199" s="19" t="str">
        <f aca="false">IF(F199="","",IF(H199&lt;&gt;"Yes","N/A",IF(Q199="","Pending",IF(UPPER(TRIM(G199))=UPPER(TRIM(Q199)),"OK","MISMATCH"))))</f>
        <v/>
      </c>
      <c r="V199" s="19" t="str">
        <f aca="false">IF(F199="","",IF(L199="Yes","Blocked: hold",IF(AND(T199="OK",OR(U199="OK",U199="N/A"),R199="Yes",S199="Yes"),"Ready","Not ready")))</f>
        <v/>
      </c>
      <c r="W199" s="17"/>
      <c r="X199" s="17"/>
      <c r="Y199" s="17"/>
      <c r="Z199" s="17"/>
      <c r="AA199" s="17"/>
      <c r="AB199" s="17"/>
    </row>
    <row r="200" customFormat="false" ht="15" hidden="false" customHeight="false" outlineLevel="0" collapsed="false">
      <c r="A200" s="19" t="n">
        <v>196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9" t="str">
        <f aca="false">IF(F200="","",IF(P200="","Pending",IF(UPPER(TRIM(F200))=UPPER(TRIM(P200)),"OK","MISMATCH")))</f>
        <v/>
      </c>
      <c r="U200" s="19" t="str">
        <f aca="false">IF(F200="","",IF(H200&lt;&gt;"Yes","N/A",IF(Q200="","Pending",IF(UPPER(TRIM(G200))=UPPER(TRIM(Q200)),"OK","MISMATCH"))))</f>
        <v/>
      </c>
      <c r="V200" s="19" t="str">
        <f aca="false">IF(F200="","",IF(L200="Yes","Blocked: hold",IF(AND(T200="OK",OR(U200="OK",U200="N/A"),R200="Yes",S200="Yes"),"Ready","Not ready")))</f>
        <v/>
      </c>
      <c r="W200" s="17"/>
      <c r="X200" s="17"/>
      <c r="Y200" s="17"/>
      <c r="Z200" s="17"/>
      <c r="AA200" s="17"/>
      <c r="AB200" s="17"/>
    </row>
    <row r="201" customFormat="false" ht="15" hidden="false" customHeight="false" outlineLevel="0" collapsed="false">
      <c r="A201" s="19" t="n">
        <v>197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9" t="str">
        <f aca="false">IF(F201="","",IF(P201="","Pending",IF(UPPER(TRIM(F201))=UPPER(TRIM(P201)),"OK","MISMATCH")))</f>
        <v/>
      </c>
      <c r="U201" s="19" t="str">
        <f aca="false">IF(F201="","",IF(H201&lt;&gt;"Yes","N/A",IF(Q201="","Pending",IF(UPPER(TRIM(G201))=UPPER(TRIM(Q201)),"OK","MISMATCH"))))</f>
        <v/>
      </c>
      <c r="V201" s="19" t="str">
        <f aca="false">IF(F201="","",IF(L201="Yes","Blocked: hold",IF(AND(T201="OK",OR(U201="OK",U201="N/A"),R201="Yes",S201="Yes"),"Ready","Not ready")))</f>
        <v/>
      </c>
      <c r="W201" s="17"/>
      <c r="X201" s="17"/>
      <c r="Y201" s="17"/>
      <c r="Z201" s="17"/>
      <c r="AA201" s="17"/>
      <c r="AB201" s="17"/>
    </row>
    <row r="202" customFormat="false" ht="15" hidden="false" customHeight="false" outlineLevel="0" collapsed="false">
      <c r="A202" s="19" t="n">
        <v>198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9" t="str">
        <f aca="false">IF(F202="","",IF(P202="","Pending",IF(UPPER(TRIM(F202))=UPPER(TRIM(P202)),"OK","MISMATCH")))</f>
        <v/>
      </c>
      <c r="U202" s="19" t="str">
        <f aca="false">IF(F202="","",IF(H202&lt;&gt;"Yes","N/A",IF(Q202="","Pending",IF(UPPER(TRIM(G202))=UPPER(TRIM(Q202)),"OK","MISMATCH"))))</f>
        <v/>
      </c>
      <c r="V202" s="19" t="str">
        <f aca="false">IF(F202="","",IF(L202="Yes","Blocked: hold",IF(AND(T202="OK",OR(U202="OK",U202="N/A"),R202="Yes",S202="Yes"),"Ready","Not ready")))</f>
        <v/>
      </c>
      <c r="W202" s="17"/>
      <c r="X202" s="17"/>
      <c r="Y202" s="17"/>
      <c r="Z202" s="17"/>
      <c r="AA202" s="17"/>
      <c r="AB202" s="17"/>
    </row>
    <row r="203" customFormat="false" ht="15" hidden="false" customHeight="false" outlineLevel="0" collapsed="false">
      <c r="A203" s="19" t="n">
        <v>199</v>
      </c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9" t="str">
        <f aca="false">IF(F203="","",IF(P203="","Pending",IF(UPPER(TRIM(F203))=UPPER(TRIM(P203)),"OK","MISMATCH")))</f>
        <v/>
      </c>
      <c r="U203" s="19" t="str">
        <f aca="false">IF(F203="","",IF(H203&lt;&gt;"Yes","N/A",IF(Q203="","Pending",IF(UPPER(TRIM(G203))=UPPER(TRIM(Q203)),"OK","MISMATCH"))))</f>
        <v/>
      </c>
      <c r="V203" s="19" t="str">
        <f aca="false">IF(F203="","",IF(L203="Yes","Blocked: hold",IF(AND(T203="OK",OR(U203="OK",U203="N/A"),R203="Yes",S203="Yes"),"Ready","Not ready")))</f>
        <v/>
      </c>
      <c r="W203" s="17"/>
      <c r="X203" s="17"/>
      <c r="Y203" s="17"/>
      <c r="Z203" s="17"/>
      <c r="AA203" s="17"/>
      <c r="AB203" s="17"/>
    </row>
    <row r="204" customFormat="false" ht="15" hidden="false" customHeight="false" outlineLevel="0" collapsed="false">
      <c r="A204" s="19" t="n">
        <v>200</v>
      </c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9" t="str">
        <f aca="false">IF(F204="","",IF(P204="","Pending",IF(UPPER(TRIM(F204))=UPPER(TRIM(P204)),"OK","MISMATCH")))</f>
        <v/>
      </c>
      <c r="U204" s="19" t="str">
        <f aca="false">IF(F204="","",IF(H204&lt;&gt;"Yes","N/A",IF(Q204="","Pending",IF(UPPER(TRIM(G204))=UPPER(TRIM(Q204)),"OK","MISMATCH"))))</f>
        <v/>
      </c>
      <c r="V204" s="19" t="str">
        <f aca="false">IF(F204="","",IF(L204="Yes","Blocked: hold",IF(AND(T204="OK",OR(U204="OK",U204="N/A"),R204="Yes",S204="Yes"),"Ready","Not ready")))</f>
        <v/>
      </c>
      <c r="W204" s="17"/>
      <c r="X204" s="17"/>
      <c r="Y204" s="17"/>
      <c r="Z204" s="17"/>
      <c r="AA204" s="17"/>
      <c r="AB204" s="17"/>
    </row>
  </sheetData>
  <autoFilter ref="A4:AB204"/>
  <conditionalFormatting sqref="T5:V204">
    <cfRule type="expression" priority="2" aboveAverage="0" equalAverage="0" bottom="0" percent="0" rank="0" text="" dxfId="4">
      <formula>OR(T5="OK",T5="Ready")</formula>
    </cfRule>
    <cfRule type="expression" priority="3" aboveAverage="0" equalAverage="0" bottom="0" percent="0" rank="0" text="" dxfId="5">
      <formula>OR(T5="MISMATCH",LEFT(T5,7)="Blocked")</formula>
    </cfRule>
    <cfRule type="expression" priority="4" aboveAverage="0" equalAverage="0" bottom="0" percent="0" rank="0" text="" dxfId="6">
      <formula>OR(T5="Pending",T5="Not ready")</formula>
    </cfRule>
  </conditionalFormatting>
  <dataValidations count="5">
    <dataValidation allowBlank="true" errorStyle="stop" operator="between" showDropDown="false" showErrorMessage="false" showInputMessage="false" sqref="H5:H204" type="list">
      <formula1>"Yes,No"</formula1>
      <formula2>0</formula2>
    </dataValidation>
    <dataValidation allowBlank="true" errorStyle="stop" operator="between" showDropDown="false" showErrorMessage="false" showInputMessage="false" sqref="L5:L204" type="list">
      <formula1>"Yes,No"</formula1>
      <formula2>0</formula2>
    </dataValidation>
    <dataValidation allowBlank="true" errorStyle="stop" operator="between" showDropDown="false" showErrorMessage="false" showInputMessage="false" sqref="R5:S204" type="list">
      <formula1>"Yes,No"</formula1>
      <formula2>0</formula2>
    </dataValidation>
    <dataValidation allowBlank="true" errorStyle="stop" operator="between" showDropDown="false" showErrorMessage="false" showInputMessage="false" sqref="X5:X204" type="list">
      <formula1>"Not started,Queued,Syncing,Synced,Completed,Failed,Stopped"</formula1>
      <formula2>0</formula2>
    </dataValidation>
    <dataValidation allowBlank="true" errorStyle="stop" operator="between" showDropDown="false" showErrorMessage="false" showInputMessage="false" sqref="Y5:AA204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7" min="5" style="0" width="12"/>
    <col collapsed="false" customWidth="true" hidden="false" outlineLevel="0" max="8" min="8" style="0" width="14"/>
    <col collapsed="false" customWidth="true" hidden="false" outlineLevel="0" max="10" min="9" style="0" width="9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40"/>
  </cols>
  <sheetData>
    <row r="1" customFormat="false" ht="17.35" hidden="false" customHeight="false" outlineLevel="0" collapsed="false">
      <c r="A1" s="1" t="s">
        <v>217</v>
      </c>
    </row>
    <row r="2" customFormat="false" ht="15" hidden="false" customHeight="false" outlineLevel="0" collapsed="false">
      <c r="A2" s="2" t="s">
        <v>218</v>
      </c>
    </row>
    <row r="3" customFormat="false" ht="31.5" hidden="false" customHeight="true" outlineLevel="0" collapsed="false">
      <c r="A3" s="10" t="s">
        <v>200</v>
      </c>
      <c r="B3" s="10" t="s">
        <v>219</v>
      </c>
      <c r="C3" s="10" t="s">
        <v>220</v>
      </c>
      <c r="D3" s="10" t="s">
        <v>221</v>
      </c>
      <c r="E3" s="10" t="s">
        <v>222</v>
      </c>
      <c r="F3" s="10" t="s">
        <v>223</v>
      </c>
      <c r="G3" s="10" t="s">
        <v>224</v>
      </c>
      <c r="H3" s="10" t="s">
        <v>120</v>
      </c>
      <c r="I3" s="10" t="s">
        <v>225</v>
      </c>
      <c r="J3" s="10" t="s">
        <v>226</v>
      </c>
      <c r="K3" s="10" t="s">
        <v>227</v>
      </c>
      <c r="L3" s="10" t="s">
        <v>228</v>
      </c>
      <c r="M3" s="10" t="s">
        <v>205</v>
      </c>
    </row>
    <row r="4" customFormat="false" ht="15" hidden="false" customHeight="false" outlineLevel="0" collapsed="false">
      <c r="A4" s="18" t="s">
        <v>216</v>
      </c>
      <c r="B4" s="18" t="s">
        <v>229</v>
      </c>
      <c r="C4" s="18" t="s">
        <v>230</v>
      </c>
      <c r="D4" s="19" t="n">
        <f aca="false">IF(A4="","",COUNTIF(Users!$W$5:$W$204,A4))</f>
        <v>1</v>
      </c>
      <c r="E4" s="18" t="s">
        <v>231</v>
      </c>
      <c r="F4" s="18" t="s">
        <v>232</v>
      </c>
      <c r="G4" s="18" t="s">
        <v>232</v>
      </c>
      <c r="H4" s="18" t="s">
        <v>224</v>
      </c>
      <c r="I4" s="18" t="n">
        <v>5</v>
      </c>
      <c r="J4" s="18" t="n">
        <v>0</v>
      </c>
      <c r="K4" s="18" t="s">
        <v>67</v>
      </c>
      <c r="L4" s="18" t="s">
        <v>233</v>
      </c>
      <c r="M4" s="18" t="s">
        <v>234</v>
      </c>
    </row>
    <row r="5" customFormat="false" ht="15" hidden="false" customHeight="false" outlineLevel="0" collapsed="false">
      <c r="A5" s="17"/>
      <c r="B5" s="17"/>
      <c r="C5" s="17"/>
      <c r="D5" s="19" t="str">
        <f aca="false">IF(A5="","",COUNTIF(Users!$W$5:$W$204,A5))</f>
        <v/>
      </c>
      <c r="E5" s="17"/>
      <c r="F5" s="17"/>
      <c r="G5" s="17"/>
      <c r="H5" s="17"/>
      <c r="I5" s="17"/>
      <c r="J5" s="17"/>
      <c r="K5" s="17"/>
      <c r="L5" s="17"/>
      <c r="M5" s="17"/>
    </row>
    <row r="6" customFormat="false" ht="15" hidden="false" customHeight="false" outlineLevel="0" collapsed="false">
      <c r="A6" s="17"/>
      <c r="B6" s="17"/>
      <c r="C6" s="17"/>
      <c r="D6" s="19" t="str">
        <f aca="false">IF(A6="","",COUNTIF(Users!$W$5:$W$204,A6))</f>
        <v/>
      </c>
      <c r="E6" s="17"/>
      <c r="F6" s="17"/>
      <c r="G6" s="17"/>
      <c r="H6" s="17"/>
      <c r="I6" s="17"/>
      <c r="J6" s="17"/>
      <c r="K6" s="17"/>
      <c r="L6" s="17"/>
      <c r="M6" s="17"/>
    </row>
    <row r="7" customFormat="false" ht="15" hidden="false" customHeight="false" outlineLevel="0" collapsed="false">
      <c r="A7" s="17"/>
      <c r="B7" s="17"/>
      <c r="C7" s="17"/>
      <c r="D7" s="19" t="str">
        <f aca="false">IF(A7="","",COUNTIF(Users!$W$5:$W$204,A7))</f>
        <v/>
      </c>
      <c r="E7" s="17"/>
      <c r="F7" s="17"/>
      <c r="G7" s="17"/>
      <c r="H7" s="17"/>
      <c r="I7" s="17"/>
      <c r="J7" s="17"/>
      <c r="K7" s="17"/>
      <c r="L7" s="17"/>
      <c r="M7" s="17"/>
    </row>
    <row r="8" customFormat="false" ht="15" hidden="false" customHeight="false" outlineLevel="0" collapsed="false">
      <c r="A8" s="17"/>
      <c r="B8" s="17"/>
      <c r="C8" s="17"/>
      <c r="D8" s="19" t="str">
        <f aca="false">IF(A8="","",COUNTIF(Users!$W$5:$W$204,A8))</f>
        <v/>
      </c>
      <c r="E8" s="17"/>
      <c r="F8" s="17"/>
      <c r="G8" s="17"/>
      <c r="H8" s="17"/>
      <c r="I8" s="17"/>
      <c r="J8" s="17"/>
      <c r="K8" s="17"/>
      <c r="L8" s="17"/>
      <c r="M8" s="17"/>
    </row>
    <row r="9" customFormat="false" ht="15" hidden="false" customHeight="false" outlineLevel="0" collapsed="false">
      <c r="A9" s="17"/>
      <c r="B9" s="17"/>
      <c r="C9" s="17"/>
      <c r="D9" s="19" t="str">
        <f aca="false">IF(A9="","",COUNTIF(Users!$W$5:$W$204,A9))</f>
        <v/>
      </c>
      <c r="E9" s="17"/>
      <c r="F9" s="17"/>
      <c r="G9" s="17"/>
      <c r="H9" s="17"/>
      <c r="I9" s="17"/>
      <c r="J9" s="17"/>
      <c r="K9" s="17"/>
      <c r="L9" s="17"/>
      <c r="M9" s="17"/>
    </row>
    <row r="10" customFormat="false" ht="15" hidden="false" customHeight="false" outlineLevel="0" collapsed="false">
      <c r="A10" s="17"/>
      <c r="B10" s="17"/>
      <c r="C10" s="17"/>
      <c r="D10" s="19" t="str">
        <f aca="false">IF(A10="","",COUNTIF(Users!$W$5:$W$204,A10))</f>
        <v/>
      </c>
      <c r="E10" s="17"/>
      <c r="F10" s="17"/>
      <c r="G10" s="17"/>
      <c r="H10" s="17"/>
      <c r="I10" s="17"/>
      <c r="J10" s="17"/>
      <c r="K10" s="17"/>
      <c r="L10" s="17"/>
      <c r="M10" s="17"/>
    </row>
    <row r="11" customFormat="false" ht="15" hidden="false" customHeight="false" outlineLevel="0" collapsed="false">
      <c r="A11" s="17"/>
      <c r="B11" s="17"/>
      <c r="C11" s="17"/>
      <c r="D11" s="19" t="str">
        <f aca="false">IF(A11="","",COUNTIF(Users!$W$5:$W$204,A11))</f>
        <v/>
      </c>
      <c r="E11" s="17"/>
      <c r="F11" s="17"/>
      <c r="G11" s="17"/>
      <c r="H11" s="17"/>
      <c r="I11" s="17"/>
      <c r="J11" s="17"/>
      <c r="K11" s="17"/>
      <c r="L11" s="17"/>
      <c r="M11" s="17"/>
    </row>
    <row r="12" customFormat="false" ht="15" hidden="false" customHeight="false" outlineLevel="0" collapsed="false">
      <c r="A12" s="17"/>
      <c r="B12" s="17"/>
      <c r="C12" s="17"/>
      <c r="D12" s="19" t="str">
        <f aca="false">IF(A12="","",COUNTIF(Users!$W$5:$W$204,A12))</f>
        <v/>
      </c>
      <c r="E12" s="17"/>
      <c r="F12" s="17"/>
      <c r="G12" s="17"/>
      <c r="H12" s="17"/>
      <c r="I12" s="17"/>
      <c r="J12" s="17"/>
      <c r="K12" s="17"/>
      <c r="L12" s="17"/>
      <c r="M12" s="17"/>
    </row>
    <row r="13" customFormat="false" ht="15" hidden="false" customHeight="false" outlineLevel="0" collapsed="false">
      <c r="A13" s="17"/>
      <c r="B13" s="17"/>
      <c r="C13" s="17"/>
      <c r="D13" s="19" t="str">
        <f aca="false">IF(A13="","",COUNTIF(Users!$W$5:$W$204,A13))</f>
        <v/>
      </c>
      <c r="E13" s="17"/>
      <c r="F13" s="17"/>
      <c r="G13" s="17"/>
      <c r="H13" s="17"/>
      <c r="I13" s="17"/>
      <c r="J13" s="17"/>
      <c r="K13" s="17"/>
      <c r="L13" s="17"/>
      <c r="M13" s="17"/>
    </row>
    <row r="14" customFormat="false" ht="15" hidden="false" customHeight="false" outlineLevel="0" collapsed="false">
      <c r="A14" s="17"/>
      <c r="B14" s="17"/>
      <c r="C14" s="17"/>
      <c r="D14" s="19" t="str">
        <f aca="false">IF(A14="","",COUNTIF(Users!$W$5:$W$204,A14))</f>
        <v/>
      </c>
      <c r="E14" s="17"/>
      <c r="F14" s="17"/>
      <c r="G14" s="17"/>
      <c r="H14" s="17"/>
      <c r="I14" s="17"/>
      <c r="J14" s="17"/>
      <c r="K14" s="17"/>
      <c r="L14" s="17"/>
      <c r="M14" s="17"/>
    </row>
    <row r="15" customFormat="false" ht="15" hidden="false" customHeight="false" outlineLevel="0" collapsed="false">
      <c r="A15" s="17"/>
      <c r="B15" s="17"/>
      <c r="C15" s="17"/>
      <c r="D15" s="19" t="str">
        <f aca="false">IF(A15="","",COUNTIF(Users!$W$5:$W$204,A15))</f>
        <v/>
      </c>
      <c r="E15" s="17"/>
      <c r="F15" s="17"/>
      <c r="G15" s="17"/>
      <c r="H15" s="17"/>
      <c r="I15" s="17"/>
      <c r="J15" s="17"/>
      <c r="K15" s="17"/>
      <c r="L15" s="17"/>
      <c r="M15" s="17"/>
    </row>
    <row r="16" customFormat="false" ht="15" hidden="false" customHeight="false" outlineLevel="0" collapsed="false">
      <c r="A16" s="17"/>
      <c r="B16" s="17"/>
      <c r="C16" s="17"/>
      <c r="D16" s="19" t="str">
        <f aca="false">IF(A16="","",COUNTIF(Users!$W$5:$W$204,A16))</f>
        <v/>
      </c>
      <c r="E16" s="17"/>
      <c r="F16" s="17"/>
      <c r="G16" s="17"/>
      <c r="H16" s="17"/>
      <c r="I16" s="17"/>
      <c r="J16" s="17"/>
      <c r="K16" s="17"/>
      <c r="L16" s="17"/>
      <c r="M16" s="17"/>
    </row>
    <row r="17" customFormat="false" ht="15" hidden="false" customHeight="false" outlineLevel="0" collapsed="false">
      <c r="A17" s="17"/>
      <c r="B17" s="17"/>
      <c r="C17" s="17"/>
      <c r="D17" s="19" t="str">
        <f aca="false">IF(A17="","",COUNTIF(Users!$W$5:$W$204,A17))</f>
        <v/>
      </c>
      <c r="E17" s="17"/>
      <c r="F17" s="17"/>
      <c r="G17" s="17"/>
      <c r="H17" s="17"/>
      <c r="I17" s="17"/>
      <c r="J17" s="17"/>
      <c r="K17" s="17"/>
      <c r="L17" s="17"/>
      <c r="M17" s="17"/>
    </row>
    <row r="18" customFormat="false" ht="15" hidden="false" customHeight="false" outlineLevel="0" collapsed="false">
      <c r="A18" s="17"/>
      <c r="B18" s="17"/>
      <c r="C18" s="17"/>
      <c r="D18" s="19" t="str">
        <f aca="false">IF(A18="","",COUNTIF(Users!$W$5:$W$204,A18))</f>
        <v/>
      </c>
      <c r="E18" s="17"/>
      <c r="F18" s="17"/>
      <c r="G18" s="17"/>
      <c r="H18" s="17"/>
      <c r="I18" s="17"/>
      <c r="J18" s="17"/>
      <c r="K18" s="17"/>
      <c r="L18" s="17"/>
      <c r="M18" s="17"/>
    </row>
    <row r="19" customFormat="false" ht="15" hidden="false" customHeight="false" outlineLevel="0" collapsed="false">
      <c r="A19" s="17"/>
      <c r="B19" s="17"/>
      <c r="C19" s="17"/>
      <c r="D19" s="19" t="str">
        <f aca="false">IF(A19="","",COUNTIF(Users!$W$5:$W$204,A19))</f>
        <v/>
      </c>
      <c r="E19" s="17"/>
      <c r="F19" s="17"/>
      <c r="G19" s="17"/>
      <c r="H19" s="17"/>
      <c r="I19" s="17"/>
      <c r="J19" s="17"/>
      <c r="K19" s="17"/>
      <c r="L19" s="17"/>
      <c r="M19" s="17"/>
    </row>
    <row r="20" customFormat="false" ht="15" hidden="false" customHeight="false" outlineLevel="0" collapsed="false">
      <c r="A20" s="17"/>
      <c r="B20" s="17"/>
      <c r="C20" s="17"/>
      <c r="D20" s="19" t="str">
        <f aca="false">IF(A20="","",COUNTIF(Users!$W$5:$W$204,A20))</f>
        <v/>
      </c>
      <c r="E20" s="17"/>
      <c r="F20" s="17"/>
      <c r="G20" s="17"/>
      <c r="H20" s="17"/>
      <c r="I20" s="17"/>
      <c r="J20" s="17"/>
      <c r="K20" s="17"/>
      <c r="L20" s="17"/>
      <c r="M20" s="17"/>
    </row>
    <row r="21" customFormat="false" ht="15" hidden="false" customHeight="false" outlineLevel="0" collapsed="false">
      <c r="A21" s="17"/>
      <c r="B21" s="17"/>
      <c r="C21" s="17"/>
      <c r="D21" s="19" t="str">
        <f aca="false">IF(A21="","",COUNTIF(Users!$W$5:$W$204,A21))</f>
        <v/>
      </c>
      <c r="E21" s="17"/>
      <c r="F21" s="17"/>
      <c r="G21" s="17"/>
      <c r="H21" s="17"/>
      <c r="I21" s="17"/>
      <c r="J21" s="17"/>
      <c r="K21" s="17"/>
      <c r="L21" s="17"/>
      <c r="M21" s="17"/>
    </row>
    <row r="22" customFormat="false" ht="15" hidden="false" customHeight="false" outlineLevel="0" collapsed="false">
      <c r="A22" s="17"/>
      <c r="B22" s="17"/>
      <c r="C22" s="17"/>
      <c r="D22" s="19" t="str">
        <f aca="false">IF(A22="","",COUNTIF(Users!$W$5:$W$204,A22))</f>
        <v/>
      </c>
      <c r="E22" s="17"/>
      <c r="F22" s="17"/>
      <c r="G22" s="17"/>
      <c r="H22" s="17"/>
      <c r="I22" s="17"/>
      <c r="J22" s="17"/>
      <c r="K22" s="17"/>
      <c r="L22" s="17"/>
      <c r="M22" s="17"/>
    </row>
    <row r="23" customFormat="false" ht="15" hidden="false" customHeight="false" outlineLevel="0" collapsed="false">
      <c r="A23" s="17"/>
      <c r="B23" s="17"/>
      <c r="C23" s="17"/>
      <c r="D23" s="19" t="str">
        <f aca="false">IF(A23="","",COUNTIF(Users!$W$5:$W$204,A23))</f>
        <v/>
      </c>
      <c r="E23" s="17"/>
      <c r="F23" s="17"/>
      <c r="G23" s="17"/>
      <c r="H23" s="17"/>
      <c r="I23" s="17"/>
      <c r="J23" s="17"/>
      <c r="K23" s="17"/>
      <c r="L23" s="17"/>
      <c r="M23" s="17"/>
    </row>
  </sheetData>
  <dataValidations count="3">
    <dataValidation allowBlank="true" errorStyle="stop" operator="between" showDropDown="false" showErrorMessage="false" showInputMessage="false" sqref="B4:B23" type="list">
      <formula1>"Pilot,Production"</formula1>
      <formula2>0</formula2>
    </dataValidation>
    <dataValidation allowBlank="true" errorStyle="stop" operator="between" showDropDown="false" showErrorMessage="false" showInputMessage="false" sqref="H4:H23" type="list">
      <formula1>"Not started,Created,Syncing,Synced,Completed,Completed with errors,Stopped,Failed"</formula1>
      <formula2>0</formula2>
    </dataValidation>
    <dataValidation allowBlank="true" errorStyle="stop" operator="between" showDropDown="false" showErrorMessage="false" showInputMessage="false" sqref="K4:K2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6" min="5" style="0" width="40"/>
    <col collapsed="false" customWidth="true" hidden="false" outlineLevel="0" max="7" min="7" style="0" width="32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3"/>
  </cols>
  <sheetData>
    <row r="1" customFormat="false" ht="17.35" hidden="false" customHeight="false" outlineLevel="0" collapsed="false">
      <c r="A1" s="1" t="s">
        <v>235</v>
      </c>
    </row>
    <row r="2" customFormat="false" ht="15" hidden="false" customHeight="false" outlineLevel="0" collapsed="false">
      <c r="A2" s="2" t="s">
        <v>236</v>
      </c>
    </row>
    <row r="3" customFormat="false" ht="31.5" hidden="false" customHeight="true" outlineLevel="0" collapsed="false">
      <c r="A3" s="10" t="s">
        <v>237</v>
      </c>
      <c r="B3" s="10" t="s">
        <v>122</v>
      </c>
      <c r="C3" s="10" t="s">
        <v>118</v>
      </c>
      <c r="D3" s="10" t="s">
        <v>238</v>
      </c>
      <c r="E3" s="10" t="s">
        <v>239</v>
      </c>
      <c r="F3" s="10" t="s">
        <v>240</v>
      </c>
      <c r="G3" s="10" t="s">
        <v>241</v>
      </c>
      <c r="H3" s="10" t="s">
        <v>242</v>
      </c>
      <c r="I3" s="10" t="s">
        <v>121</v>
      </c>
      <c r="J3" s="10" t="s">
        <v>120</v>
      </c>
      <c r="K3" s="10" t="s">
        <v>243</v>
      </c>
    </row>
    <row r="4" customFormat="false" ht="35.05" hidden="false" customHeight="false" outlineLevel="0" collapsed="false">
      <c r="A4" s="18" t="n">
        <v>1</v>
      </c>
      <c r="B4" s="18" t="s">
        <v>231</v>
      </c>
      <c r="C4" s="18" t="n">
        <v>5</v>
      </c>
      <c r="D4" s="18" t="s">
        <v>215</v>
      </c>
      <c r="E4" s="18" t="s">
        <v>244</v>
      </c>
      <c r="F4" s="18" t="s">
        <v>245</v>
      </c>
      <c r="G4" s="18" t="s">
        <v>246</v>
      </c>
      <c r="H4" s="18" t="s">
        <v>247</v>
      </c>
      <c r="I4" s="18" t="s">
        <v>248</v>
      </c>
      <c r="J4" s="18" t="s">
        <v>249</v>
      </c>
      <c r="K4" s="18" t="s">
        <v>250</v>
      </c>
    </row>
    <row r="5" customFormat="false" ht="15" hidden="false" customHeight="false" outlineLevel="0" collapsed="false">
      <c r="A5" s="17" t="n">
        <v>2</v>
      </c>
      <c r="B5" s="17"/>
      <c r="C5" s="17"/>
      <c r="D5" s="17"/>
      <c r="E5" s="17"/>
      <c r="F5" s="17"/>
      <c r="G5" s="17"/>
      <c r="H5" s="17"/>
      <c r="I5" s="17"/>
      <c r="J5" s="17"/>
      <c r="K5" s="17"/>
    </row>
    <row r="6" customFormat="false" ht="15" hidden="false" customHeight="false" outlineLevel="0" collapsed="false">
      <c r="A6" s="17" t="n">
        <v>3</v>
      </c>
      <c r="B6" s="17"/>
      <c r="C6" s="17"/>
      <c r="D6" s="17"/>
      <c r="E6" s="17"/>
      <c r="F6" s="17"/>
      <c r="G6" s="17"/>
      <c r="H6" s="17"/>
      <c r="I6" s="17"/>
      <c r="J6" s="17"/>
      <c r="K6" s="17"/>
    </row>
    <row r="7" customFormat="false" ht="15" hidden="false" customHeight="false" outlineLevel="0" collapsed="false">
      <c r="A7" s="17" t="n">
        <v>4</v>
      </c>
      <c r="B7" s="17"/>
      <c r="C7" s="17"/>
      <c r="D7" s="17"/>
      <c r="E7" s="17"/>
      <c r="F7" s="17"/>
      <c r="G7" s="17"/>
      <c r="H7" s="17"/>
      <c r="I7" s="17"/>
      <c r="J7" s="17"/>
      <c r="K7" s="17"/>
    </row>
    <row r="8" customFormat="false" ht="15" hidden="false" customHeight="false" outlineLevel="0" collapsed="false">
      <c r="A8" s="17" t="n">
        <v>5</v>
      </c>
      <c r="B8" s="17"/>
      <c r="C8" s="17"/>
      <c r="D8" s="17"/>
      <c r="E8" s="17"/>
      <c r="F8" s="17"/>
      <c r="G8" s="17"/>
      <c r="H8" s="17"/>
      <c r="I8" s="17"/>
      <c r="J8" s="17"/>
      <c r="K8" s="17"/>
    </row>
    <row r="9" customFormat="false" ht="15" hidden="false" customHeight="false" outlineLevel="0" collapsed="false">
      <c r="A9" s="17" t="n">
        <v>6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customFormat="false" ht="15" hidden="false" customHeight="false" outlineLevel="0" collapsed="false">
      <c r="A10" s="17" t="n">
        <v>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customFormat="false" ht="15" hidden="false" customHeight="false" outlineLevel="0" collapsed="false">
      <c r="A11" s="17" t="n">
        <v>8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customFormat="false" ht="15" hidden="false" customHeight="false" outlineLevel="0" collapsed="false">
      <c r="A12" s="17" t="n">
        <v>9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customFormat="false" ht="15" hidden="false" customHeight="false" outlineLevel="0" collapsed="false">
      <c r="A13" s="17" t="n">
        <v>10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customFormat="false" ht="15" hidden="false" customHeight="false" outlineLevel="0" collapsed="false">
      <c r="A14" s="17" t="n">
        <v>11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customFormat="false" ht="15" hidden="false" customHeight="false" outlineLevel="0" collapsed="false">
      <c r="A15" s="17" t="n">
        <v>12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customFormat="false" ht="15" hidden="false" customHeight="false" outlineLevel="0" collapsed="false">
      <c r="A16" s="17" t="n">
        <v>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customFormat="false" ht="15" hidden="false" customHeight="false" outlineLevel="0" collapsed="false">
      <c r="A17" s="17" t="n">
        <v>14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customFormat="false" ht="15" hidden="false" customHeight="false" outlineLevel="0" collapsed="false">
      <c r="A18" s="17" t="n">
        <v>15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customFormat="false" ht="15" hidden="false" customHeight="false" outlineLevel="0" collapsed="false">
      <c r="A19" s="17" t="n">
        <v>16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customFormat="false" ht="15" hidden="false" customHeight="false" outlineLevel="0" collapsed="false">
      <c r="A20" s="17" t="n">
        <v>17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customFormat="false" ht="15" hidden="false" customHeight="false" outlineLevel="0" collapsed="false">
      <c r="A21" s="17" t="n">
        <v>18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customFormat="false" ht="15" hidden="false" customHeight="false" outlineLevel="0" collapsed="false">
      <c r="A22" s="17" t="n">
        <v>19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customFormat="false" ht="15" hidden="false" customHeight="false" outlineLevel="0" collapsed="false">
      <c r="A23" s="17" t="n">
        <v>20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customFormat="false" ht="15" hidden="false" customHeight="false" outlineLevel="0" collapsed="false">
      <c r="A24" s="17" t="n"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customFormat="false" ht="15" hidden="false" customHeight="false" outlineLevel="0" collapsed="false">
      <c r="A25" s="17" t="n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customFormat="false" ht="15" hidden="false" customHeight="false" outlineLevel="0" collapsed="false">
      <c r="A26" s="17" t="n">
        <v>23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customFormat="false" ht="15" hidden="false" customHeight="false" outlineLevel="0" collapsed="false">
      <c r="A27" s="17" t="n">
        <v>24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customFormat="false" ht="15" hidden="false" customHeight="false" outlineLevel="0" collapsed="false">
      <c r="A28" s="17" t="n">
        <v>25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</row>
    <row r="29" customFormat="false" ht="15" hidden="false" customHeight="false" outlineLevel="0" collapsed="false">
      <c r="A29" s="17" t="n">
        <v>26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customFormat="false" ht="15" hidden="false" customHeight="false" outlineLevel="0" collapsed="false">
      <c r="A30" s="17" t="n">
        <v>27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customFormat="false" ht="15" hidden="false" customHeight="false" outlineLevel="0" collapsed="false">
      <c r="A31" s="17" t="n">
        <v>28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customFormat="false" ht="15" hidden="false" customHeight="false" outlineLevel="0" collapsed="false">
      <c r="A32" s="17" t="n">
        <v>29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customFormat="false" ht="15" hidden="false" customHeight="false" outlineLevel="0" collapsed="false">
      <c r="A33" s="17" t="n">
        <v>30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customFormat="false" ht="15" hidden="false" customHeight="false" outlineLevel="0" collapsed="false">
      <c r="A34" s="17" t="n">
        <v>31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</row>
    <row r="35" customFormat="false" ht="15" hidden="false" customHeight="false" outlineLevel="0" collapsed="false">
      <c r="A35" s="17" t="n">
        <v>32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customFormat="false" ht="15" hidden="false" customHeight="false" outlineLevel="0" collapsed="false">
      <c r="A36" s="17" t="n">
        <v>33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</row>
    <row r="37" customFormat="false" ht="15" hidden="false" customHeight="false" outlineLevel="0" collapsed="false">
      <c r="A37" s="17" t="n">
        <v>34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customFormat="false" ht="15" hidden="false" customHeight="false" outlineLevel="0" collapsed="false">
      <c r="A38" s="17" t="n">
        <v>35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customFormat="false" ht="15" hidden="false" customHeight="false" outlineLevel="0" collapsed="false">
      <c r="A39" s="17" t="n">
        <v>36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customFormat="false" ht="15" hidden="false" customHeight="false" outlineLevel="0" collapsed="false">
      <c r="A40" s="17" t="n">
        <v>37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customFormat="false" ht="15" hidden="false" customHeight="false" outlineLevel="0" collapsed="false">
      <c r="A41" s="17" t="n">
        <v>38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customFormat="false" ht="15" hidden="false" customHeight="false" outlineLevel="0" collapsed="false">
      <c r="A42" s="17" t="n">
        <v>39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customFormat="false" ht="15" hidden="false" customHeight="false" outlineLevel="0" collapsed="false">
      <c r="A43" s="17" t="n">
        <v>40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customFormat="false" ht="15" hidden="false" customHeight="false" outlineLevel="0" collapsed="false">
      <c r="A44" s="17" t="n">
        <v>41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 customFormat="false" ht="15" hidden="false" customHeight="false" outlineLevel="0" collapsed="false">
      <c r="A45" s="17" t="n">
        <v>42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customFormat="false" ht="15" hidden="false" customHeight="false" outlineLevel="0" collapsed="false">
      <c r="A46" s="17" t="n">
        <v>43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</row>
    <row r="47" customFormat="false" ht="15" hidden="false" customHeight="false" outlineLevel="0" collapsed="false">
      <c r="A47" s="17" t="n">
        <v>44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</row>
    <row r="48" customFormat="false" ht="15" hidden="false" customHeight="false" outlineLevel="0" collapsed="false">
      <c r="A48" s="17" t="n">
        <v>45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 customFormat="false" ht="15" hidden="false" customHeight="false" outlineLevel="0" collapsed="false">
      <c r="A49" s="17" t="n">
        <v>46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</row>
    <row r="50" customFormat="false" ht="15" hidden="false" customHeight="false" outlineLevel="0" collapsed="false">
      <c r="A50" s="17" t="n">
        <v>47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customFormat="false" ht="15" hidden="false" customHeight="false" outlineLevel="0" collapsed="false">
      <c r="A51" s="17" t="n">
        <v>48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customFormat="false" ht="15" hidden="false" customHeight="false" outlineLevel="0" collapsed="false">
      <c r="A52" s="17" t="n">
        <v>49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customFormat="false" ht="15" hidden="false" customHeight="false" outlineLevel="0" collapsed="false">
      <c r="A53" s="17" t="n">
        <v>50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</row>
  </sheetData>
  <conditionalFormatting sqref="J4:J53">
    <cfRule type="cellIs" priority="2" operator="equal" aboveAverage="0" equalAverage="0" bottom="0" percent="0" rank="0" text="" dxfId="5">
      <formula>"Open"</formula>
    </cfRule>
  </conditionalFormatting>
  <dataValidations count="1">
    <dataValidation allowBlank="true" errorStyle="stop" operator="between" showDropDown="false" showErrorMessage="false" showInputMessage="false" sqref="J4:J53" type="list">
      <formula1>"Open,In progress,Resolved,Escalated to Microsoft"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2026-10-17T15:03:55Z</dcterms:created>
  <dc:creator>openpyxl</dc:creator>
  <dc:description/>
  <dc:language>en-US</dc:language>
  <cp:lastModifiedBy/>
  <dcterms:modified xsi:type="dcterms:W3CDTF">2026-10-17T15:03:55Z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